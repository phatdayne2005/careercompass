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3d8b48906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_CFG_Summary" sheetId="1" r:id="Re3ad4c94bc104124"/>
    <x:sheet xmlns:r="http://schemas.openxmlformats.org/officeDocument/2006/relationships" name="B2_Coverage_Levels" sheetId="2" r:id="R55f4a1cb813c4609"/>
    <x:sheet xmlns:r="http://schemas.openxmlformats.org/officeDocument/2006/relationships" name="B3_Before_After" sheetId="3" r:id="Rab81e1117b90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777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i/>
      <x:sz val="9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1F6D7A"/>
      </x:patternFill>
    </x:fill>
    <x:fill>
      <x:patternFill patternType="solid">
        <x:fgColor rgb="FFF7FBF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bottom style="thin">
        <x:color rgb="FFC9D6E2"/>
      </x:bottom>
    </x:border>
    <x:border>
      <x:left style="thin">
        <x:color rgb="FFC9D6E2"/>
      </x:left>
      <x:right style="thin">
        <x:color rgb="FFC9D6E2"/>
      </x:right>
      <x:bottom style="thin">
        <x:color rgb="FFC9D6E2"/>
      </x:bottom>
    </x:border>
    <x:border>
      <x:left style="thin">
        <x:color rgb="FFC9D6E2"/>
      </x:left>
      <x:bottom style="thin">
        <x:color rgb="FFC9D6E2"/>
      </x:bottom>
    </x:border>
    <x:border>
      <x:right style="thin">
        <x:color rgb="FFC9D6E2"/>
      </x:right>
      <x:top style="thin">
        <x:color rgb="FFC9D6E2"/>
      </x:top>
    </x:border>
    <x:border>
      <x:left style="thin">
        <x:color rgb="FFC9D6E2"/>
      </x:left>
      <x:right style="thin">
        <x:color rgb="FFC9D6E2"/>
      </x:right>
      <x:top style="thin">
        <x:color rgb="FFC9D6E2"/>
      </x:top>
    </x:border>
    <x:border>
      <x:left style="thin">
        <x:color rgb="FFC9D6E2"/>
      </x:left>
      <x:top style="thin">
        <x:color rgb="FFC9D6E2"/>
      </x:top>
    </x:border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200" fontId="4" fillId="5" borderId="3" xfId="0" applyNumberFormat="1" applyFont="1" applyFill="1" applyBorder="1" applyAlignment="1">
      <x:alignment horizontal="center" vertical="center" wrapText="1"/>
    </x:xf>
    <x:xf numFmtId="200" fontId="4" fillId="5" borderId="4" xfId="0" applyNumberFormat="1" applyFont="1" applyFill="1" applyBorder="1" applyAlignment="1">
      <x:alignment horizontal="center" vertical="center" wrapText="1"/>
    </x:xf>
    <x:xf numFmtId="200" fontId="4" fillId="5" borderId="6" xfId="0" applyNumberFormat="1" applyFont="1" applyFill="1" applyBorder="1" applyAlignment="1">
      <x:alignment horizontal="center" vertical="center" wrapText="1"/>
    </x:xf>
    <x:xf numFmtId="200" fontId="4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201" fontId="4" fillId="5" borderId="3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4" fillId="5" borderId="6" xfId="0" applyNumberFormat="1" applyFont="1" applyFill="1" applyBorder="1" applyAlignment="1">
      <x:alignment vertical="center" wrapText="1"/>
    </x:xf>
    <x:xf numFmtId="201" fontId="4" fillId="5" borderId="3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201" fontId="4" fillId="5" borderId="6" xfId="0" applyNumberFormat="1" applyFont="1" applyFill="1" applyBorder="1" applyAlignment="1">
      <x:alignment horizontal="center" vertical="center" wrapText="1"/>
    </x:xf>
    <x:xf numFmtId="201" fontId="4" fillId="7" borderId="3" xfId="0" applyNumberFormat="1" applyFont="1" applyFill="1" applyBorder="1" applyAlignment="1">
      <x:alignment horizontal="center" vertical="center" wrapText="1"/>
    </x:xf>
    <x:xf numFmtId="201" fontId="4" fillId="7" borderId="1" xfId="0" applyNumberFormat="1" applyFont="1" applyFill="1" applyBorder="1" applyAlignment="1">
      <x:alignment horizontal="center" vertical="center" wrapText="1"/>
    </x:xf>
    <x:xf numFmtId="201" fontId="4" fillId="7" borderId="6" xfId="0" applyNumberFormat="1" applyFont="1" applyFill="1" applyBorder="1" applyAlignment="1">
      <x:alignment horizontal="center" vertical="center" wrapText="1"/>
    </x:xf>
    <x:xf numFmtId="201" fontId="4" fillId="5" borderId="8" xfId="0" applyNumberFormat="1" applyFont="1" applyFill="1" applyBorder="1" applyAlignment="1">
      <x:alignment vertical="center" wrapText="1"/>
    </x:xf>
    <x:xf numFmtId="201" fontId="4" fillId="5" borderId="8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a8f2ddfc54180" /><Relationship Type="http://schemas.openxmlformats.org/officeDocument/2006/relationships/theme" Target="/xl/theme/theme1.xml" Id="R307195b995044eed" /><Relationship Type="http://schemas.openxmlformats.org/officeDocument/2006/relationships/sharedStrings" Target="/xl/sharedStrings.xml" Id="R87be3ae981b44e1d" /><Relationship Type="http://schemas.openxmlformats.org/officeDocument/2006/relationships/worksheet" Target="/xl/worksheets/sheet1.xml" Id="Re3ad4c94bc104124" /><Relationship Type="http://schemas.openxmlformats.org/officeDocument/2006/relationships/worksheet" Target="/xl/worksheets/sheet2.xml" Id="R55f4a1cb813c4609" /><Relationship Type="http://schemas.openxmlformats.org/officeDocument/2006/relationships/worksheet" Target="/xl/worksheets/sheet3.xml" Id="Rab81e1117b904f65" /></Relationships>
</file>

<file path=xl/tables/table1.xml><?xml version="1.0" encoding="utf-8"?>
<x:table xmlns:x="http://schemas.openxmlformats.org/spreadsheetml/2006/main" id="1" name="B1CfgSummaryTable" displayName="B1CfgSummaryTable" ref="A4:I6" headerRowCount="1" totalsRowCount="0" totalsRowShown="0">
  <x:autoFilter ref="A4:I6"/>
  <x:tableColumns count="9">
    <x:tableColumn id="1" name="HÀM"/>
    <x:tableColumn id="2" name="Nút N"/>
    <x:tableColumn id="3" name="Cạnh E"/>
    <x:tableColumn id="4" name="Nút điều kiện P"/>
    <x:tableColumn id="5" name="Miền R"/>
    <x:tableColumn id="6" name="V(G)=E−N+2"/>
    <x:tableColumn id="7" name="V(G)=P+1"/>
    <x:tableColumn id="8" name="V(G)=R"/>
    <x:tableColumn id="9" name="Số test tối thiể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CoverageLevelsTable" displayName="B2CoverageLevelsTable" ref="A4:E8" headerRowCount="1" totalsRowCount="0" totalsRowShown="0">
  <x:autoFilter ref="A4:E8"/>
  <x:tableColumns count="5">
    <x:tableColumn id="1" name="MỨC BAO PHỦ"/>
    <x:tableColumn id="2" name="SỐ TEST TỐI THIỂU"/>
    <x:tableColumn id="3" name="BỘ TEST CASE"/>
    <x:tableColumn id="4" name="BẮT ĐƯỢC LỖI GÌ"/>
    <x:tableColumn id="5" name="BỎ SÓT LỖI G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ConditionCombinationTable" displayName="B2ConditionCombinationTable" ref="A13:K20" headerRowCount="1" totalsRowCount="0" totalsRowShown="0">
  <x:autoFilter ref="A13:K20"/>
  <x:tableColumns count="11">
    <x:tableColumn id="1" name="CASE"/>
    <x:tableColumn id="2" name="completed"/>
    <x:tableColumn id="3" name="t"/>
    <x:tableColumn id="4" name="tier1Done"/>
    <x:tableColumn id="5" name="tier2Done"/>
    <x:tableColumn id="6" name="A: !completed"/>
    <x:tableColumn id="7" name="B: t==2"/>
    <x:tableColumn id="8" name="C: !tier1Done"/>
    <x:tableColumn id="9" name="D: t&gt;=3"/>
    <x:tableColumn id="10" name="E: !(tier1Done &amp;&amp; tier2Done)"/>
    <x:tableColumn id="11" name="Expected lock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3BeforeAfterTable" displayName="B3BeforeAfterTable" ref="A4:E8" headerRowCount="1" totalsRowCount="0" totalsRowShown="0">
  <x:autoFilter ref="A4:E8"/>
  <x:tableColumns count="5">
    <x:tableColumn id="1" name="CHỈ SỐ"/>
    <x:tableColumn id="2" name="TRƯỚC"/>
    <x:tableColumn id="3" name="SAU"/>
    <x:tableColumn id="4" name="TĂNG"/>
    <x:tableColumn id="5" name="NGUỒ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3TestRunSummaryTable" displayName="B3TestRunSummaryTable" ref="A11:B16" headerRowCount="1" totalsRowCount="0" totalsRowShown="0">
  <x:autoFilter ref="A11:B16"/>
  <x:tableColumns count="2">
    <x:tableColumn id="1" name="KẾT QUẢ CHẠY TEST"/>
    <x:tableColumn id="2" name="GIÁ TR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798661d41141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459474c6f3424e" /><Relationship Type="http://schemas.openxmlformats.org/officeDocument/2006/relationships/table" Target="/xl/tables/table3.xml" Id="Rc18c4a80012747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77d3944aa9c4a54" /><Relationship Type="http://schemas.openxmlformats.org/officeDocument/2006/relationships/table" Target="/xl/tables/table5.xml" Id="Rde191199428a43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 ht="34" customHeight="1">
      <x:c r="A1" s="5" t="str">
        <x:v>Bảng B1 · Đồ thị luồng điều khiển và độ phức tạp</x:v>
      </x:c>
      <x:c r="B1" s="5" t="str">
        <x:v>Bảng B1 · Đồ thị luồng điều khiển và độ phức tạp</x:v>
      </x:c>
      <x:c r="C1" s="5" t="str">
        <x:v>Bảng B1 · Đồ thị luồng điều khiển và độ phức tạp</x:v>
      </x:c>
      <x:c r="D1" s="5" t="str">
        <x:v>Bảng B1 · Đồ thị luồng điều khiển và độ phức tạp</x:v>
      </x:c>
      <x:c r="E1" s="5" t="str">
        <x:v>Bảng B1 · Đồ thị luồng điều khiển và độ phức tạp</x:v>
      </x:c>
      <x:c r="F1" s="5" t="str">
        <x:v>Bảng B1 · Đồ thị luồng điều khiển và độ phức tạp</x:v>
      </x:c>
      <x:c r="G1" s="5" t="str">
        <x:v>Bảng B1 · Đồ thị luồng điều khiển và độ phức tạp</x:v>
      </x:c>
      <x:c r="H1" s="5" t="str">
        <x:v>Bảng B1 · Đồ thị luồng điều khiển và độ phức tạp</x:v>
      </x:c>
      <x:c r="I1" s="5" t="str">
        <x:v>Bảng B1 · Đồ thị luồng điều khiển và độ phức tạp</x:v>
      </x:c>
    </x:row>
    <x:row r="2" ht="30" customHeight="1">
      <x:c r="A2" s="10" t="str">
        <x:v>CFG Graph để lại theo yêu cầu. Bảng này chỉ tổng hợp các chỉ số N, E, P, R và V(G) từ các hàm được chọn.</x:v>
      </x:c>
      <x:c r="B2" s="10" t="str">
        <x:v>CFG Graph để lại theo yêu cầu. Bảng này chỉ tổng hợp các chỉ số N, E, P, R và V(G) từ các hàm được chọn.</x:v>
      </x:c>
      <x:c r="C2" s="10" t="str">
        <x:v>CFG Graph để lại theo yêu cầu. Bảng này chỉ tổng hợp các chỉ số N, E, P, R và V(G) từ các hàm được chọn.</x:v>
      </x:c>
      <x:c r="D2" s="10" t="str">
        <x:v>CFG Graph để lại theo yêu cầu. Bảng này chỉ tổng hợp các chỉ số N, E, P, R và V(G) từ các hàm được chọn.</x:v>
      </x:c>
      <x:c r="E2" s="10" t="str">
        <x:v>CFG Graph để lại theo yêu cầu. Bảng này chỉ tổng hợp các chỉ số N, E, P, R và V(G) từ các hàm được chọn.</x:v>
      </x:c>
      <x:c r="F2" s="10" t="str">
        <x:v>CFG Graph để lại theo yêu cầu. Bảng này chỉ tổng hợp các chỉ số N, E, P, R và V(G) từ các hàm được chọn.</x:v>
      </x:c>
      <x:c r="G2" s="10" t="str">
        <x:v>CFG Graph để lại theo yêu cầu. Bảng này chỉ tổng hợp các chỉ số N, E, P, R và V(G) từ các hàm được chọn.</x:v>
      </x:c>
      <x:c r="H2" s="10" t="str">
        <x:v>CFG Graph để lại theo yêu cầu. Bảng này chỉ tổng hợp các chỉ số N, E, P, R và V(G) từ các hàm được chọn.</x:v>
      </x:c>
      <x:c r="I2" s="10" t="str">
        <x:v>CFG Graph để lại theo yêu cầu. Bảng này chỉ tổng hợp các chỉ số N, E, P, R và V(G) từ các hàm được chọn.</x:v>
      </x:c>
    </x:row>
    <x:row r="4" ht="28" customHeight="1">
      <x:c r="A4" s="16" t="str">
        <x:v>HÀM</x:v>
      </x:c>
      <x:c r="B4" s="16" t="str">
        <x:v>Nút N</x:v>
      </x:c>
      <x:c r="C4" s="16" t="str">
        <x:v>Cạnh E</x:v>
      </x:c>
      <x:c r="D4" s="16" t="str">
        <x:v>Nút điều kiện P</x:v>
      </x:c>
      <x:c r="E4" s="16" t="str">
        <x:v>Miền R</x:v>
      </x:c>
      <x:c r="F4" s="16" t="str">
        <x:v>V(G)=E−N+2</x:v>
      </x:c>
      <x:c r="G4" s="16" t="str">
        <x:v>V(G)=P+1</x:v>
      </x:c>
      <x:c r="H4" s="16" t="str">
        <x:v>V(G)=R</x:v>
      </x:c>
      <x:c r="I4" s="16" t="str">
        <x:v>Số test tối thiểu</x:v>
      </x:c>
    </x:row>
    <x:row r="5" ht="28" customHeight="1">
      <x:c r="A5" s="31" t="str">
        <x:v>calculatePercent()</x:v>
      </x:c>
      <x:c r="B5" s="41" t="n">
        <x:v>4</x:v>
      </x:c>
      <x:c r="C5" s="41" t="n">
        <x:v>4</x:v>
      </x:c>
      <x:c r="D5" s="41" t="n">
        <x:v>1</x:v>
      </x:c>
      <x:c r="E5" s="41" t="n">
        <x:v>2</x:v>
      </x:c>
      <x:c r="F5" s="41" t="n">
        <x:f>C5-B5+2</x:f>
        <x:v>2</x:v>
      </x:c>
      <x:c r="G5" s="41" t="n">
        <x:f>D5+1</x:f>
        <x:v>2</x:v>
      </x:c>
      <x:c r="H5" s="41" t="n">
        <x:f>E5</x:f>
        <x:v>2</x:v>
      </x:c>
      <x:c r="I5" s="42" t="n">
        <x:v>2</x:v>
      </x:c>
    </x:row>
    <x:row r="6" ht="28" customHeight="1">
      <x:c r="A6" s="34" t="str">
        <x:v>isNodeLocked()</x:v>
      </x:c>
      <x:c r="B6" s="43" t="n">
        <x:v>14</x:v>
      </x:c>
      <x:c r="C6" s="43" t="n">
        <x:v>19</x:v>
      </x:c>
      <x:c r="D6" s="43" t="n">
        <x:v>6</x:v>
      </x:c>
      <x:c r="E6" s="43" t="n">
        <x:v>7</x:v>
      </x:c>
      <x:c r="F6" s="43" t="n">
        <x:f>C6-B6+2</x:f>
        <x:v>7</x:v>
      </x:c>
      <x:c r="G6" s="43" t="n">
        <x:f>D6+1</x:f>
        <x:v>7</x:v>
      </x:c>
      <x:c r="H6" s="43" t="n">
        <x:f>E6</x:f>
        <x:v>7</x:v>
      </x:c>
      <x:c r="I6" s="44" t="n">
        <x:v>7</x:v>
      </x:c>
    </x:row>
    <x:row r="8" ht="32" customHeight="1">
      <x:c r="A8" s="53" t="str">
        <x:v>Ghi chú: calculatePercent() dùng đúng số liệu mẫu của đề. isNodeLocked() được tổng hợp theo 6 decision/branch trong method; CFG Graph chi tiết không đưa vào workbook này.</x:v>
      </x:c>
      <x:c r="B8" s="54" t="str">
        <x:v>Ghi chú: calculatePercent() dùng đúng số liệu mẫu của đề. isNodeLocked() được tổng hợp theo 6 decision/branch trong method; CFG Graph chi tiết không đưa vào workbook này.</x:v>
      </x:c>
      <x:c r="C8" s="54" t="str">
        <x:v>Ghi chú: calculatePercent() dùng đúng số liệu mẫu của đề. isNodeLocked() được tổng hợp theo 6 decision/branch trong method; CFG Graph chi tiết không đưa vào workbook này.</x:v>
      </x:c>
      <x:c r="D8" s="54" t="str">
        <x:v>Ghi chú: calculatePercent() dùng đúng số liệu mẫu của đề. isNodeLocked() được tổng hợp theo 6 decision/branch trong method; CFG Graph chi tiết không đưa vào workbook này.</x:v>
      </x:c>
      <x:c r="E8" s="54" t="str">
        <x:v>Ghi chú: calculatePercent() dùng đúng số liệu mẫu của đề. isNodeLocked() được tổng hợp theo 6 decision/branch trong method; CFG Graph chi tiết không đưa vào workbook này.</x:v>
      </x:c>
      <x:c r="F8" s="54" t="str">
        <x:v>Ghi chú: calculatePercent() dùng đúng số liệu mẫu của đề. isNodeLocked() được tổng hợp theo 6 decision/branch trong method; CFG Graph chi tiết không đưa vào workbook này.</x:v>
      </x:c>
      <x:c r="G8" s="54" t="str">
        <x:v>Ghi chú: calculatePercent() dùng đúng số liệu mẫu của đề. isNodeLocked() được tổng hợp theo 6 decision/branch trong method; CFG Graph chi tiết không đưa vào workbook này.</x:v>
      </x:c>
      <x:c r="H8" s="54" t="str">
        <x:v>Ghi chú: calculatePercent() dùng đúng số liệu mẫu của đề. isNodeLocked() được tổng hợp theo 6 decision/branch trong method; CFG Graph chi tiết không đưa vào workbook này.</x:v>
      </x:c>
      <x:c r="I8" s="55" t="str">
        <x:v>Ghi chú: calculatePercent() dùng đúng số liệu mẫu của đề. isNodeLocked() được tổng hợp theo 6 decision/branch trong method; CFG Graph chi tiết không đưa vào workbook này.</x:v>
      </x:c>
    </x:row>
    <x:row r="10" ht="22" customHeight="1">
      <x:c r="A10" s="58" t="str">
        <x:v>Nguồn: RoadmapService.java</x:v>
      </x:c>
      <x:c r="B10" s="58"/>
      <x:c r="C10" s="58"/>
      <x:c r="D10" s="58"/>
      <x:c r="E10" s="58"/>
      <x:c r="F10" s="58"/>
      <x:c r="G10" s="58"/>
      <x:c r="H10" s="58"/>
      <x:c r="I10" s="58"/>
    </x:row>
  </x:sheetData>
  <x:mergeCells>
    <x:mergeCell ref="A1:I1"/>
    <x:mergeCell ref="A2:I2"/>
    <x:mergeCell ref="A8:I8"/>
    <x:mergeCell ref="A10:I10"/>
  </x:mergeCells>
  <x:pageMargins left="0.7" right="0.7" top="0.75" bottom="0.75" header="0.3" footer="0.3"/>
  <x:tableParts count="1">
    <x:tablePart xmlns:r="http://schemas.openxmlformats.org/officeDocument/2006/relationships" r:id="Ra5798661d41141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</x:cols>
  <x:sheetData>
    <x:row r="1" ht="34" customHeight="1">
      <x:c r="A1" s="5" t="str">
        <x:v>Bảng B2 · So sánh bốn mức bao phủ</x:v>
      </x:c>
      <x:c r="B1" s="5" t="str">
        <x:v>Bảng B2 · So sánh bốn mức bao phủ</x:v>
      </x:c>
      <x:c r="C1" s="5" t="str">
        <x:v>Bảng B2 · So sánh bốn mức bao phủ</x:v>
      </x:c>
      <x:c r="D1" s="5" t="str">
        <x:v>Bảng B2 · So sánh bốn mức bao phủ</x:v>
      </x:c>
      <x:c r="E1" s="5" t="str">
        <x:v>Bảng B2 · So sánh bốn mức bao phủ</x:v>
      </x:c>
    </x:row>
    <x:row r="2" ht="30" customHeight="1">
      <x:c r="A2" s="10" t="str">
        <x:v>Hàm minh họa chính: calculatePercent(completed, total). Bảng phụ bên dưới bổ sung tổ hợp điều kiện của biểu thức khóa roadmap.</x:v>
      </x:c>
      <x:c r="B2" s="10" t="str">
        <x:v>Hàm minh họa chính: calculatePercent(completed, total). Bảng phụ bên dưới bổ sung tổ hợp điều kiện của biểu thức khóa roadmap.</x:v>
      </x:c>
      <x:c r="C2" s="10" t="str">
        <x:v>Hàm minh họa chính: calculatePercent(completed, total). Bảng phụ bên dưới bổ sung tổ hợp điều kiện của biểu thức khóa roadmap.</x:v>
      </x:c>
      <x:c r="D2" s="10" t="str">
        <x:v>Hàm minh họa chính: calculatePercent(completed, total). Bảng phụ bên dưới bổ sung tổ hợp điều kiện của biểu thức khóa roadmap.</x:v>
      </x:c>
      <x:c r="E2" s="10" t="str">
        <x:v>Hàm minh họa chính: calculatePercent(completed, total). Bảng phụ bên dưới bổ sung tổ hợp điều kiện của biểu thức khóa roadmap.</x:v>
      </x:c>
    </x:row>
    <x:row r="4" ht="64" customHeight="1">
      <x:c r="A4" s="16" t="str">
        <x:v>MỨC BAO PHỦ</x:v>
      </x:c>
      <x:c r="B4" s="16" t="str">
        <x:v>SỐ TEST TỐI THIỂU</x:v>
      </x:c>
      <x:c r="C4" s="16" t="str">
        <x:v>BỘ TEST CASE</x:v>
      </x:c>
      <x:c r="D4" s="16" t="str">
        <x:v>BẮT ĐƯỢC LỖI GÌ</x:v>
      </x:c>
      <x:c r="E4" s="16" t="str">
        <x:v>BỎ SÓT LỖI GÌ</x:v>
      </x:c>
    </x:row>
    <x:row r="5" ht="64" customHeight="1">
      <x:c r="A5" s="69" t="str">
        <x:v>Câu lệnh</x:v>
      </x:c>
      <x:c r="B5" s="70" t="n">
        <x:v>1</x:v>
      </x:c>
      <x:c r="C5" s="32" t="str">
        <x:v>(completed=5, total=10)</x:v>
      </x:c>
      <x:c r="D5" s="32" t="str">
        <x:v>Xác nhận đường tính phần trăm được thực thi và trả về kết quả bình thường.</x:v>
      </x:c>
      <x:c r="E5" s="33" t="str">
        <x:v>Không phát hiện total=0 gây chia cho 0; không kiểm tra nhánh guard.</x:v>
      </x:c>
    </x:row>
    <x:row r="6" ht="64" customHeight="1">
      <x:c r="A6" s="71" t="str">
        <x:v>Nhánh</x:v>
      </x:c>
      <x:c r="B6" s="72" t="n">
        <x:v>2</x:v>
      </x:c>
      <x:c r="C6" s="66" t="str">
        <x:v>(0,0); (5,10)</x:v>
      </x:c>
      <x:c r="D6" s="66" t="str">
        <x:v>Bao phủ cả nhánh total==0 và total!=0.</x:v>
      </x:c>
      <x:c r="E6" s="67" t="str">
        <x:v>Không đánh giá tương tác của nhiều điều kiện trong biểu thức khóa node.</x:v>
      </x:c>
    </x:row>
    <x:row r="7" ht="64" customHeight="1">
      <x:c r="A7" s="71" t="str">
        <x:v>Điều kiện</x:v>
      </x:c>
      <x:c r="B7" s="72" t="n">
        <x:v>2</x:v>
      </x:c>
      <x:c r="C7" s="66" t="str">
        <x:v>(completed=0,total=0); (completed=1,total=3)</x:v>
      </x:c>
      <x:c r="D7" s="66" t="str">
        <x:v>Điều kiện total==0 nhận đủ giá trị TRUE và FALSE.</x:v>
      </x:c>
      <x:c r="E7" s="67" t="str">
        <x:v>Không thay thế được kiểm thử tổ hợp của biểu thức nhiều điều kiện.</x:v>
      </x:c>
    </x:row>
    <x:row r="8" ht="64" customHeight="1">
      <x:c r="A8" s="73" t="str">
        <x:v>Tổ hợp điều kiện</x:v>
      </x:c>
      <x:c r="B8" s="74" t="n">
        <x:v>2</x:v>
      </x:c>
      <x:c r="C8" s="35" t="str">
        <x:v>(0,0); (1,3)</x:v>
      </x:c>
      <x:c r="D8" s="35" t="str">
        <x:v>Với calculatePercent chỉ có 1 điều kiện nên 2 tổ hợp TRUE/FALSE là đủ.</x:v>
      </x:c>
      <x:c r="E8" s="36" t="str">
        <x:v>Các tổ hợp A–E của biểu thức khóa roadmap phải kiểm tra riêng ở ma trận bên dưới.</x:v>
      </x:c>
    </x:row>
    <x:row r="11" ht="30" customHeight="1">
      <x:c r="A11" s="10" t="str">
        <x:v>Ma trận tổ hợp điều kiện cho biểu thức: !completed &amp;&amp; ((t == 2 &amp;&amp; !tier1Done) || (t &gt;= 3 &amp;&amp; !(tier1Done &amp;&amp; tier2Done)))</x:v>
      </x:c>
      <x:c r="B11" s="10" t="str">
        <x:v>Ma trận tổ hợp điều kiện cho biểu thức: !completed &amp;&amp; ((t == 2 &amp;&amp; !tier1Done) || (t &gt;= 3 &amp;&amp; !(tier1Done &amp;&amp; tier2Done)))</x:v>
      </x:c>
      <x:c r="C11" s="10" t="str">
        <x:v>Ma trận tổ hợp điều kiện cho biểu thức: !completed &amp;&amp; ((t == 2 &amp;&amp; !tier1Done) || (t &gt;= 3 &amp;&amp; !(tier1Done &amp;&amp; tier2Done)))</x:v>
      </x:c>
      <x:c r="D11" s="10" t="str">
        <x:v>Ma trận tổ hợp điều kiện cho biểu thức: !completed &amp;&amp; ((t == 2 &amp;&amp; !tier1Done) || (t &gt;= 3 &amp;&amp; !(tier1Done &amp;&amp; tier2Done)))</x:v>
      </x:c>
      <x:c r="E11" s="10" t="str">
        <x:v>Ma trận tổ hợp điều kiện cho biểu thức: !completed &amp;&amp; ((t == 2 &amp;&amp; !tier1Done) || (t &gt;= 3 &amp;&amp; !(tier1Done &amp;&amp; tier2Done)))</x:v>
      </x:c>
      <x:c r="F11" s="10" t="str">
        <x:v>Ma trận tổ hợp điều kiện cho biểu thức: !completed &amp;&amp; ((t == 2 &amp;&amp; !tier1Done) || (t &gt;= 3 &amp;&amp; !(tier1Done &amp;&amp; tier2Done)))</x:v>
      </x:c>
      <x:c r="G11" s="10" t="str">
        <x:v>Ma trận tổ hợp điều kiện cho biểu thức: !completed &amp;&amp; ((t == 2 &amp;&amp; !tier1Done) || (t &gt;= 3 &amp;&amp; !(tier1Done &amp;&amp; tier2Done)))</x:v>
      </x:c>
      <x:c r="H11" s="10" t="str">
        <x:v>Ma trận tổ hợp điều kiện cho biểu thức: !completed &amp;&amp; ((t == 2 &amp;&amp; !tier1Done) || (t &gt;= 3 &amp;&amp; !(tier1Done &amp;&amp; tier2Done)))</x:v>
      </x:c>
      <x:c r="I11" s="10" t="str">
        <x:v>Ma trận tổ hợp điều kiện cho biểu thức: !completed &amp;&amp; ((t == 2 &amp;&amp; !tier1Done) || (t &gt;= 3 &amp;&amp; !(tier1Done &amp;&amp; tier2Done)))</x:v>
      </x:c>
      <x:c r="J11" s="10" t="str">
        <x:v>Ma trận tổ hợp điều kiện cho biểu thức: !completed &amp;&amp; ((t == 2 &amp;&amp; !tier1Done) || (t &gt;= 3 &amp;&amp; !(tier1Done &amp;&amp; tier2Done)))</x:v>
      </x:c>
      <x:c r="K11" s="10" t="str">
        <x:v>Ma trận tổ hợp điều kiện cho biểu thức: !completed &amp;&amp; ((t == 2 &amp;&amp; !tier1Done) || (t &gt;= 3 &amp;&amp; !(tier1Done &amp;&amp; tier2Done)))</x:v>
      </x:c>
    </x:row>
    <x:row r="13" ht="28" customHeight="1">
      <x:c r="A13" s="16" t="str">
        <x:v>CASE</x:v>
      </x:c>
      <x:c r="B13" s="16" t="str">
        <x:v>completed</x:v>
      </x:c>
      <x:c r="C13" s="16" t="str">
        <x:v>t</x:v>
      </x:c>
      <x:c r="D13" s="16" t="str">
        <x:v>tier1Done</x:v>
      </x:c>
      <x:c r="E13" s="16" t="str">
        <x:v>tier2Done</x:v>
      </x:c>
      <x:c r="F13" s="16" t="str">
        <x:v>A: !completed</x:v>
      </x:c>
      <x:c r="G13" s="16" t="str">
        <x:v>B: t==2</x:v>
      </x:c>
      <x:c r="H13" s="16" t="str">
        <x:v>C: !tier1Done</x:v>
      </x:c>
      <x:c r="I13" s="16" t="str">
        <x:v>D: t&gt;=3</x:v>
      </x:c>
      <x:c r="J13" s="16" t="str">
        <x:v>E: !(tier1Done &amp;&amp; tier2Done)</x:v>
      </x:c>
      <x:c r="K13" s="16" t="str">
        <x:v>Expected locked</x:v>
      </x:c>
    </x:row>
    <x:row r="14" ht="28" customHeight="1">
      <x:c r="A14" s="31" t="str">
        <x:v>T2-01</x:v>
      </x:c>
      <x:c r="B14" s="37" t="str">
        <x:v>FALSE</x:v>
      </x:c>
      <x:c r="C14" s="41" t="n">
        <x:v>2</x:v>
      </x:c>
      <x:c r="D14" s="37" t="str">
        <x:v>FALSE</x:v>
      </x:c>
      <x:c r="E14" s="37" t="str">
        <x:v>FALSE</x:v>
      </x:c>
      <x:c r="F14" s="37" t="str">
        <x:f>IF(B14="FALSE","TRUE","FALSE")</x:f>
        <x:v>TRUE</x:v>
      </x:c>
      <x:c r="G14" s="37" t="str">
        <x:f>IF(C14=2,"TRUE","FALSE")</x:f>
        <x:v>TRUE</x:v>
      </x:c>
      <x:c r="H14" s="37" t="str">
        <x:f>IF(D14="FALSE","TRUE","FALSE")</x:f>
        <x:v>TRUE</x:v>
      </x:c>
      <x:c r="I14" s="37" t="str">
        <x:f>IF(C14&gt;=3,"TRUE","FALSE")</x:f>
        <x:v>FALSE</x:v>
      </x:c>
      <x:c r="J14" s="37" t="str">
        <x:f>IF(AND(D14="TRUE",E14="TRUE"),"FALSE","TRUE")</x:f>
        <x:v>TRUE</x:v>
      </x:c>
      <x:c r="K14" s="77" t="str">
        <x:f>IF(AND(F14="TRUE",OR(AND(G14="TRUE",H14="TRUE"),AND(I14="TRUE",J14="TRUE"))),"TRUE","FALSE")</x:f>
        <x:v>TRUE</x:v>
      </x:c>
    </x:row>
    <x:row r="15" ht="28" customHeight="1">
      <x:c r="A15" s="65" t="str">
        <x:v>T2-02</x:v>
      </x:c>
      <x:c r="B15" s="68" t="str">
        <x:v>FALSE</x:v>
      </x:c>
      <x:c r="C15" s="76" t="n">
        <x:v>2</x:v>
      </x:c>
      <x:c r="D15" s="68" t="str">
        <x:v>TRUE</x:v>
      </x:c>
      <x:c r="E15" s="68" t="str">
        <x:v>FALSE</x:v>
      </x:c>
      <x:c r="F15" s="68" t="str">
        <x:f>IF(B15="FALSE","TRUE","FALSE")</x:f>
        <x:v>TRUE</x:v>
      </x:c>
      <x:c r="G15" s="68" t="str">
        <x:f>IF(C15=2,"TRUE","FALSE")</x:f>
        <x:v>TRUE</x:v>
      </x:c>
      <x:c r="H15" s="68" t="str">
        <x:f>IF(D15="FALSE","TRUE","FALSE")</x:f>
        <x:v>FALSE</x:v>
      </x:c>
      <x:c r="I15" s="68" t="str">
        <x:f>IF(C15&gt;=3,"TRUE","FALSE")</x:f>
        <x:v>FALSE</x:v>
      </x:c>
      <x:c r="J15" s="68" t="str">
        <x:f>IF(AND(D15="TRUE",E15="TRUE"),"FALSE","TRUE")</x:f>
        <x:v>TRUE</x:v>
      </x:c>
      <x:c r="K15" s="78" t="str">
        <x:f>IF(AND(F15="TRUE",OR(AND(G15="TRUE",H15="TRUE"),AND(I15="TRUE",J15="TRUE"))),"TRUE","FALSE")</x:f>
        <x:v>FALSE</x:v>
      </x:c>
    </x:row>
    <x:row r="16" ht="28" customHeight="1">
      <x:c r="A16" s="65" t="str">
        <x:v>T3-01</x:v>
      </x:c>
      <x:c r="B16" s="68" t="str">
        <x:v>FALSE</x:v>
      </x:c>
      <x:c r="C16" s="76" t="n">
        <x:v>3</x:v>
      </x:c>
      <x:c r="D16" s="68" t="str">
        <x:v>FALSE</x:v>
      </x:c>
      <x:c r="E16" s="68" t="str">
        <x:v>FALSE</x:v>
      </x:c>
      <x:c r="F16" s="68" t="str">
        <x:f>IF(B16="FALSE","TRUE","FALSE")</x:f>
        <x:v>TRUE</x:v>
      </x:c>
      <x:c r="G16" s="68" t="str">
        <x:f>IF(C16=2,"TRUE","FALSE")</x:f>
        <x:v>FALSE</x:v>
      </x:c>
      <x:c r="H16" s="68" t="str">
        <x:f>IF(D16="FALSE","TRUE","FALSE")</x:f>
        <x:v>TRUE</x:v>
      </x:c>
      <x:c r="I16" s="68" t="str">
        <x:f>IF(C16&gt;=3,"TRUE","FALSE")</x:f>
        <x:v>TRUE</x:v>
      </x:c>
      <x:c r="J16" s="68" t="str">
        <x:f>IF(AND(D16="TRUE",E16="TRUE"),"FALSE","TRUE")</x:f>
        <x:v>TRUE</x:v>
      </x:c>
      <x:c r="K16" s="78" t="str">
        <x:f>IF(AND(F16="TRUE",OR(AND(G16="TRUE",H16="TRUE"),AND(I16="TRUE",J16="TRUE"))),"TRUE","FALSE")</x:f>
        <x:v>TRUE</x:v>
      </x:c>
    </x:row>
    <x:row r="17" ht="28" customHeight="1">
      <x:c r="A17" s="65" t="str">
        <x:v>T3-02</x:v>
      </x:c>
      <x:c r="B17" s="68" t="str">
        <x:v>FALSE</x:v>
      </x:c>
      <x:c r="C17" s="76" t="n">
        <x:v>3</x:v>
      </x:c>
      <x:c r="D17" s="68" t="str">
        <x:v>TRUE</x:v>
      </x:c>
      <x:c r="E17" s="68" t="str">
        <x:v>FALSE</x:v>
      </x:c>
      <x:c r="F17" s="68" t="str">
        <x:f>IF(B17="FALSE","TRUE","FALSE")</x:f>
        <x:v>TRUE</x:v>
      </x:c>
      <x:c r="G17" s="68" t="str">
        <x:f>IF(C17=2,"TRUE","FALSE")</x:f>
        <x:v>FALSE</x:v>
      </x:c>
      <x:c r="H17" s="68" t="str">
        <x:f>IF(D17="FALSE","TRUE","FALSE")</x:f>
        <x:v>FALSE</x:v>
      </x:c>
      <x:c r="I17" s="68" t="str">
        <x:f>IF(C17&gt;=3,"TRUE","FALSE")</x:f>
        <x:v>TRUE</x:v>
      </x:c>
      <x:c r="J17" s="68" t="str">
        <x:f>IF(AND(D17="TRUE",E17="TRUE"),"FALSE","TRUE")</x:f>
        <x:v>TRUE</x:v>
      </x:c>
      <x:c r="K17" s="78" t="str">
        <x:f>IF(AND(F17="TRUE",OR(AND(G17="TRUE",H17="TRUE"),AND(I17="TRUE",J17="TRUE"))),"TRUE","FALSE")</x:f>
        <x:v>TRUE</x:v>
      </x:c>
    </x:row>
    <x:row r="18" ht="28" customHeight="1">
      <x:c r="A18" s="65" t="str">
        <x:v>T3-03</x:v>
      </x:c>
      <x:c r="B18" s="68" t="str">
        <x:v>FALSE</x:v>
      </x:c>
      <x:c r="C18" s="76" t="n">
        <x:v>3</x:v>
      </x:c>
      <x:c r="D18" s="68" t="str">
        <x:v>TRUE</x:v>
      </x:c>
      <x:c r="E18" s="68" t="str">
        <x:v>TRUE</x:v>
      </x:c>
      <x:c r="F18" s="68" t="str">
        <x:f>IF(B18="FALSE","TRUE","FALSE")</x:f>
        <x:v>TRUE</x:v>
      </x:c>
      <x:c r="G18" s="68" t="str">
        <x:f>IF(C18=2,"TRUE","FALSE")</x:f>
        <x:v>FALSE</x:v>
      </x:c>
      <x:c r="H18" s="68" t="str">
        <x:f>IF(D18="FALSE","TRUE","FALSE")</x:f>
        <x:v>FALSE</x:v>
      </x:c>
      <x:c r="I18" s="68" t="str">
        <x:f>IF(C18&gt;=3,"TRUE","FALSE")</x:f>
        <x:v>TRUE</x:v>
      </x:c>
      <x:c r="J18" s="68" t="str">
        <x:f>IF(AND(D18="TRUE",E18="TRUE"),"FALSE","TRUE")</x:f>
        <x:v>FALSE</x:v>
      </x:c>
      <x:c r="K18" s="78" t="str">
        <x:f>IF(AND(F18="TRUE",OR(AND(G18="TRUE",H18="TRUE"),AND(I18="TRUE",J18="TRUE"))),"TRUE","FALSE")</x:f>
        <x:v>FALSE</x:v>
      </x:c>
    </x:row>
    <x:row r="19" ht="28" customHeight="1">
      <x:c r="A19" s="65" t="str">
        <x:v>DONE-01</x:v>
      </x:c>
      <x:c r="B19" s="68" t="str">
        <x:v>TRUE</x:v>
      </x:c>
      <x:c r="C19" s="76" t="n">
        <x:v>3</x:v>
      </x:c>
      <x:c r="D19" s="68" t="str">
        <x:v>FALSE</x:v>
      </x:c>
      <x:c r="E19" s="68" t="str">
        <x:v>FALSE</x:v>
      </x:c>
      <x:c r="F19" s="68" t="str">
        <x:f>IF(B19="FALSE","TRUE","FALSE")</x:f>
        <x:v>FALSE</x:v>
      </x:c>
      <x:c r="G19" s="68" t="str">
        <x:f>IF(C19=2,"TRUE","FALSE")</x:f>
        <x:v>FALSE</x:v>
      </x:c>
      <x:c r="H19" s="68" t="str">
        <x:f>IF(D19="FALSE","TRUE","FALSE")</x:f>
        <x:v>TRUE</x:v>
      </x:c>
      <x:c r="I19" s="68" t="str">
        <x:f>IF(C19&gt;=3,"TRUE","FALSE")</x:f>
        <x:v>TRUE</x:v>
      </x:c>
      <x:c r="J19" s="68" t="str">
        <x:f>IF(AND(D19="TRUE",E19="TRUE"),"FALSE","TRUE")</x:f>
        <x:v>TRUE</x:v>
      </x:c>
      <x:c r="K19" s="78" t="str">
        <x:f>IF(AND(F19="TRUE",OR(AND(G19="TRUE",H19="TRUE"),AND(I19="TRUE",J19="TRUE"))),"TRUE","FALSE")</x:f>
        <x:v>FALSE</x:v>
      </x:c>
    </x:row>
    <x:row r="20" ht="28" customHeight="1">
      <x:c r="A20" s="34" t="str">
        <x:v>T1-01</x:v>
      </x:c>
      <x:c r="B20" s="39" t="str">
        <x:v>FALSE</x:v>
      </x:c>
      <x:c r="C20" s="43" t="n">
        <x:v>1</x:v>
      </x:c>
      <x:c r="D20" s="39" t="str">
        <x:v>FALSE</x:v>
      </x:c>
      <x:c r="E20" s="39" t="str">
        <x:v>FALSE</x:v>
      </x:c>
      <x:c r="F20" s="39" t="str">
        <x:f>IF(B20="FALSE","TRUE","FALSE")</x:f>
        <x:v>TRUE</x:v>
      </x:c>
      <x:c r="G20" s="39" t="str">
        <x:f>IF(C20=2,"TRUE","FALSE")</x:f>
        <x:v>FALSE</x:v>
      </x:c>
      <x:c r="H20" s="39" t="str">
        <x:f>IF(D20="FALSE","TRUE","FALSE")</x:f>
        <x:v>TRUE</x:v>
      </x:c>
      <x:c r="I20" s="39" t="str">
        <x:f>IF(C20&gt;=3,"TRUE","FALSE")</x:f>
        <x:v>FALSE</x:v>
      </x:c>
      <x:c r="J20" s="39" t="str">
        <x:f>IF(AND(D20="TRUE",E20="TRUE"),"FALSE","TRUE")</x:f>
        <x:v>TRUE</x:v>
      </x:c>
      <x:c r="K20" s="79" t="str">
        <x:f>IF(AND(F20="TRUE",OR(AND(G20="TRUE",H20="TRUE"),AND(I20="TRUE",J20="TRUE"))),"TRUE","FALSE")</x:f>
        <x:v>FALSE</x:v>
      </x:c>
    </x:row>
    <x:row r="22" ht="32" customHeight="1">
      <x:c r="A22" s="53" t="str">
        <x:v>Ý nghĩa: ma trận này dùng để chứng minh các trường hợp tier 2, tier 3, node đã hoàn thành và trạng thái lower-tier chưa hoàn tất; phần CFG Graph vẫn được để lại.</x:v>
      </x:c>
      <x:c r="B22" s="54" t="str">
        <x:v>Ý nghĩa: ma trận này dùng để chứng minh các trường hợp tier 2, tier 3, node đã hoàn thành và trạng thái lower-tier chưa hoàn tất; phần CFG Graph vẫn được để lại.</x:v>
      </x:c>
      <x:c r="C22" s="54" t="str">
        <x:v>Ý nghĩa: ma trận này dùng để chứng minh các trường hợp tier 2, tier 3, node đã hoàn thành và trạng thái lower-tier chưa hoàn tất; phần CFG Graph vẫn được để lại.</x:v>
      </x:c>
      <x:c r="D22" s="54" t="str">
        <x:v>Ý nghĩa: ma trận này dùng để chứng minh các trường hợp tier 2, tier 3, node đã hoàn thành và trạng thái lower-tier chưa hoàn tất; phần CFG Graph vẫn được để lại.</x:v>
      </x:c>
      <x:c r="E22" s="54" t="str">
        <x:v>Ý nghĩa: ma trận này dùng để chứng minh các trường hợp tier 2, tier 3, node đã hoàn thành và trạng thái lower-tier chưa hoàn tất; phần CFG Graph vẫn được để lại.</x:v>
      </x:c>
      <x:c r="F22" s="54" t="str">
        <x:v>Ý nghĩa: ma trận này dùng để chứng minh các trường hợp tier 2, tier 3, node đã hoàn thành và trạng thái lower-tier chưa hoàn tất; phần CFG Graph vẫn được để lại.</x:v>
      </x:c>
      <x:c r="G22" s="54" t="str">
        <x:v>Ý nghĩa: ma trận này dùng để chứng minh các trường hợp tier 2, tier 3, node đã hoàn thành và trạng thái lower-tier chưa hoàn tất; phần CFG Graph vẫn được để lại.</x:v>
      </x:c>
      <x:c r="H22" s="54" t="str">
        <x:v>Ý nghĩa: ma trận này dùng để chứng minh các trường hợp tier 2, tier 3, node đã hoàn thành và trạng thái lower-tier chưa hoàn tất; phần CFG Graph vẫn được để lại.</x:v>
      </x:c>
      <x:c r="I22" s="54" t="str">
        <x:v>Ý nghĩa: ma trận này dùng để chứng minh các trường hợp tier 2, tier 3, node đã hoàn thành và trạng thái lower-tier chưa hoàn tất; phần CFG Graph vẫn được để lại.</x:v>
      </x:c>
      <x:c r="J22" s="54" t="str">
        <x:v>Ý nghĩa: ma trận này dùng để chứng minh các trường hợp tier 2, tier 3, node đã hoàn thành và trạng thái lower-tier chưa hoàn tất; phần CFG Graph vẫn được để lại.</x:v>
      </x:c>
      <x:c r="K22" s="55" t="str">
        <x:v>Ý nghĩa: ma trận này dùng để chứng minh các trường hợp tier 2, tier 3, node đã hoàn thành và trạng thái lower-tier chưa hoàn tất; phần CFG Graph vẫn được để lại.</x:v>
      </x:c>
    </x:row>
  </x:sheetData>
  <x:mergeCells>
    <x:mergeCell ref="A1:E1"/>
    <x:mergeCell ref="A2:E2"/>
    <x:mergeCell ref="A11:K11"/>
    <x:mergeCell ref="A22:K22"/>
  </x:mergeCells>
  <x:pageMargins left="0.7" right="0.7" top="0.75" bottom="0.75" header="0.3" footer="0.3"/>
  <x:tableParts count="2">
    <x:tablePart xmlns:r="http://schemas.openxmlformats.org/officeDocument/2006/relationships" r:id="Rb4459474c6f3424e"/>
    <x:tablePart xmlns:r="http://schemas.openxmlformats.org/officeDocument/2006/relationships" r:id="Rc18c4a800127473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34" customHeight="1">
      <x:c r="A1" s="5" t="str">
        <x:v>Bảng B3 · Độ bao phủ trước và sau</x:v>
      </x:c>
      <x:c r="B1" s="5" t="str">
        <x:v>Bảng B3 · Độ bao phủ trước và sau</x:v>
      </x:c>
      <x:c r="C1" s="5" t="str">
        <x:v>Bảng B3 · Độ bao phủ trước và sau</x:v>
      </x:c>
      <x:c r="D1" s="5" t="str">
        <x:v>Bảng B3 · Độ bao phủ trước và sau</x:v>
      </x:c>
      <x:c r="E1" s="5" t="str">
        <x:v>Bảng B3 · Độ bao phủ trước và sau</x:v>
      </x:c>
    </x:row>
    <x:row r="2" ht="30" customHeight="1">
      <x:c r="A2" s="10" t="str">
        <x:v>Trước: số liệu baseline của đề. Sau: kết quả clean verify của project ngày 2026-08-24. Cột TĂNG được tính bằng công thức.</x:v>
      </x:c>
      <x:c r="B2" s="10" t="str">
        <x:v>Trước: số liệu baseline của đề. Sau: kết quả clean verify của project ngày 2026-08-24. Cột TĂNG được tính bằng công thức.</x:v>
      </x:c>
      <x:c r="C2" s="10" t="str">
        <x:v>Trước: số liệu baseline của đề. Sau: kết quả clean verify của project ngày 2026-08-24. Cột TĂNG được tính bằng công thức.</x:v>
      </x:c>
      <x:c r="D2" s="10" t="str">
        <x:v>Trước: số liệu baseline của đề. Sau: kết quả clean verify của project ngày 2026-08-24. Cột TĂNG được tính bằng công thức.</x:v>
      </x:c>
      <x:c r="E2" s="10" t="str">
        <x:v>Trước: số liệu baseline của đề. Sau: kết quả clean verify của project ngày 2026-08-24. Cột TĂNG được tính bằng công thức.</x:v>
      </x:c>
    </x:row>
    <x:row r="4" ht="36" customHeight="1">
      <x:c r="A4" s="16" t="str">
        <x:v>CHỈ SỐ</x:v>
      </x:c>
      <x:c r="B4" s="16" t="str">
        <x:v>TRƯỚC</x:v>
      </x:c>
      <x:c r="C4" s="16" t="str">
        <x:v>SAU</x:v>
      </x:c>
      <x:c r="D4" s="16" t="str">
        <x:v>TĂNG</x:v>
      </x:c>
      <x:c r="E4" s="16" t="str">
        <x:v>NGUỒN</x:v>
      </x:c>
    </x:row>
    <x:row r="5" ht="26" customHeight="1">
      <x:c r="A5" s="69" t="str">
        <x:v>Bao phủ dòng lệnh</x:v>
      </x:c>
      <x:c r="B5" s="83" t="n">
        <x:v>0.601</x:v>
      </x:c>
      <x:c r="C5" s="83" t="n">
        <x:v>0.726</x:v>
      </x:c>
      <x:c r="D5" s="86" t="n">
        <x:f>C5-B5</x:f>
        <x:v>0.125</x:v>
      </x:c>
      <x:c r="E5" s="33" t="str">
        <x:v>JaCoCo</x:v>
      </x:c>
    </x:row>
    <x:row r="6" ht="26" customHeight="1">
      <x:c r="A6" s="71" t="str">
        <x:v>Bao phủ nhánh</x:v>
      </x:c>
      <x:c r="B6" s="84" t="n">
        <x:v>0.482</x:v>
      </x:c>
      <x:c r="C6" s="84" t="n">
        <x:v>0.651</x:v>
      </x:c>
      <x:c r="D6" s="87" t="n">
        <x:f>C6-B6</x:f>
        <x:v>0.16900000000000004</x:v>
      </x:c>
      <x:c r="E6" s="67" t="str">
        <x:v>JaCoCo</x:v>
      </x:c>
    </x:row>
    <x:row r="7" ht="26" customHeight="1">
      <x:c r="A7" s="71" t="str">
        <x:v>Độ phức tạp được phủ</x:v>
      </x:c>
      <x:c r="B7" s="84" t="n">
        <x:v>0.534</x:v>
      </x:c>
      <x:c r="C7" s="84" t="n">
        <x:v>0.652</x:v>
      </x:c>
      <x:c r="D7" s="87" t="n">
        <x:f>C7-B7</x:f>
        <x:v>0.118</x:v>
      </x:c>
      <x:c r="E7" s="67" t="str">
        <x:v>JaCoCo</x:v>
      </x:c>
    </x:row>
    <x:row r="8" ht="26" customHeight="1">
      <x:c r="A8" s="73" t="str">
        <x:v>Số phương thức được phủ</x:v>
      </x:c>
      <x:c r="B8" s="85" t="n">
        <x:v>0.651</x:v>
      </x:c>
      <x:c r="C8" s="85" t="n">
        <x:v>0.756</x:v>
      </x:c>
      <x:c r="D8" s="88" t="n">
        <x:f>C8-B8</x:f>
        <x:v>0.10499999999999998</x:v>
      </x:c>
      <x:c r="E8" s="36" t="str">
        <x:v>JaCoCo</x:v>
      </x:c>
    </x:row>
    <x:row r="11" ht="36" customHeight="1">
      <x:c r="A11" s="16" t="str">
        <x:v>KẾT QUẢ CHẠY TEST</x:v>
      </x:c>
      <x:c r="B11" s="16" t="str">
        <x:v>GIÁ TRỊ</x:v>
      </x:c>
    </x:row>
    <x:row r="12">
      <x:c r="A12" s="69" t="str">
        <x:v>Full test suite</x:v>
      </x:c>
      <x:c r="B12" s="38" t="n">
        <x:v>254</x:v>
      </x:c>
    </x:row>
    <x:row r="13">
      <x:c r="A13" s="71" t="str">
        <x:v>Failures</x:v>
      </x:c>
      <x:c r="B13" s="75" t="n">
        <x:v>0</x:v>
      </x:c>
    </x:row>
    <x:row r="14">
      <x:c r="A14" s="71" t="str">
        <x:v>Branch gate</x:v>
      </x:c>
      <x:c r="B14" s="90" t="n">
        <x:v>0.65</x:v>
      </x:c>
    </x:row>
    <x:row r="15">
      <x:c r="A15" s="71" t="str">
        <x:v>Actual branch</x:v>
      </x:c>
      <x:c r="B15" s="90" t="n">
        <x:v>0.651</x:v>
      </x:c>
    </x:row>
    <x:row r="16">
      <x:c r="A16" s="73" t="str">
        <x:v>Verify result</x:v>
      </x:c>
      <x:c r="B16" s="40" t="str">
        <x:v>BUILD SUCCESS</x:v>
      </x:c>
    </x:row>
    <x:row r="18" ht="32" customHeight="1">
      <x:c r="A18" s="98" t="str">
        <x:v>JaCoCo xác nhận: instruction 72,8%; line 72,6%; branch 65,1%; complexity 65,2%; method 75,6%. Cột tăng là điểm phần trăm (percentage points).</x:v>
      </x:c>
      <x:c r="B18" s="99" t="str">
        <x:v>JaCoCo xác nhận: instruction 72,8%; line 72,6%; branch 65,1%; complexity 65,2%; method 75,6%. Cột tăng là điểm phần trăm (percentage points).</x:v>
      </x:c>
      <x:c r="C18" s="99" t="str">
        <x:v>JaCoCo xác nhận: instruction 72,8%; line 72,6%; branch 65,1%; complexity 65,2%; method 75,6%. Cột tăng là điểm phần trăm (percentage points).</x:v>
      </x:c>
      <x:c r="D18" s="99" t="str">
        <x:v>JaCoCo xác nhận: instruction 72,8%; line 72,6%; branch 65,1%; complexity 65,2%; method 75,6%. Cột tăng là điểm phần trăm (percentage points).</x:v>
      </x:c>
      <x:c r="E18" s="100" t="str">
        <x:v>JaCoCo xác nhận: instruction 72,8%; line 72,6%; branch 65,1%; complexity 65,2%; method 75,6%. Cột tăng là điểm phần trăm (percentage points).</x:v>
      </x:c>
    </x:row>
  </x:sheetData>
  <x:mergeCells>
    <x:mergeCell ref="A1:E1"/>
    <x:mergeCell ref="A2:E2"/>
    <x:mergeCell ref="A18:E18"/>
  </x:mergeCells>
  <x:pageMargins left="0.7" right="0.7" top="0.75" bottom="0.75" header="0.3" footer="0.3"/>
  <x:tableParts count="2">
    <x:tablePart xmlns:r="http://schemas.openxmlformats.org/officeDocument/2006/relationships" r:id="R377d3944aa9c4a54"/>
    <x:tablePart xmlns:r="http://schemas.openxmlformats.org/officeDocument/2006/relationships" r:id="Rde191199428a4376"/>
  </x:tableParts>
</x:worksheet>
</file>