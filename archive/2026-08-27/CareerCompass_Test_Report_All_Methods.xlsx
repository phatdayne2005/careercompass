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ae8bdac67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. Tổng quan" sheetId="1" r:id="R569fea8f363a4a8e"/>
    <x:sheet xmlns:r="http://schemas.openxmlformats.org/officeDocument/2006/relationships" name="01. BVA" sheetId="2" r:id="Ra3637f0bf3a34897"/>
    <x:sheet xmlns:r="http://schemas.openxmlformats.org/officeDocument/2006/relationships" name="02. Equiv Partition" sheetId="3" r:id="R49e3a269adc945c3"/>
    <x:sheet xmlns:r="http://schemas.openxmlformats.org/officeDocument/2006/relationships" name="03. Decision Table" sheetId="4" r:id="Rb489ad9f75fd487e"/>
    <x:sheet xmlns:r="http://schemas.openxmlformats.org/officeDocument/2006/relationships" name="04. State Transition" sheetId="5" r:id="Ra347c368d1e34dbf"/>
    <x:sheet xmlns:r="http://schemas.openxmlformats.org/officeDocument/2006/relationships" name="05. Negative Test" sheetId="6" r:id="R5bb9778ed7f64a21"/>
    <x:sheet xmlns:r="http://schemas.openxmlformats.org/officeDocument/2006/relationships" name="06. Unit Test" sheetId="7" r:id="R2ffc6e3886b14060"/>
    <x:sheet xmlns:r="http://schemas.openxmlformats.org/officeDocument/2006/relationships" name="07. E2E UI" sheetId="8" r:id="Rf2e2b081e31f4899"/>
    <x:sheet xmlns:r="http://schemas.openxmlformats.org/officeDocument/2006/relationships" name="08. Smoke" sheetId="9" r:id="R2edc0b3da4754f55"/>
    <x:sheet xmlns:r="http://schemas.openxmlformats.org/officeDocument/2006/relationships" name="09. Functional" sheetId="10" r:id="R3c426db535b44a1c"/>
    <x:sheet xmlns:r="http://schemas.openxmlformats.org/officeDocument/2006/relationships" name="10. Security" sheetId="11" r:id="Rfe9ecd6cad8c4ea1"/>
    <x:sheet xmlns:r="http://schemas.openxmlformats.org/officeDocument/2006/relationships" name="11. Integration" sheetId="12" r:id="R16273ab6c6f64b73"/>
    <x:sheet xmlns:r="http://schemas.openxmlformats.org/officeDocument/2006/relationships" name="12. Error Guessing" sheetId="13" r:id="R7212c1d378e2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34155"/>
      <x:name val="Carlito"/>
    </x:font>
    <x:font>
      <x:b/>
      <x:sz val="11"/>
      <x:color rgb="FF0F172A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0"/>
      <x:color rgb="FF166534"/>
      <x:name val="Carlito"/>
    </x:font>
    <x:font>
      <x:b/>
      <x:sz val="10"/>
      <x:color rgb="FF92400E"/>
      <x:name val="Carlito"/>
    </x:font>
    <x:font>
      <x:b/>
      <x:sz val="10"/>
      <x:color rgb="FF991B1B"/>
      <x:name val="Carlito"/>
    </x:font>
    <x:font>
      <x:b/>
      <x:sz val="16"/>
      <x:color rgb="FFFFFFFF"/>
      <x:name val="Carlito"/>
    </x:font>
    <x:font>
      <x:sz val="10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5ae8e04c54e2e" /><Relationship Type="http://schemas.openxmlformats.org/officeDocument/2006/relationships/theme" Target="/xl/theme/theme1.xml" Id="R67b988b4a58f40a1" /><Relationship Type="http://schemas.openxmlformats.org/officeDocument/2006/relationships/sharedStrings" Target="/xl/sharedStrings.xml" Id="R1dc42f26107443f3" /><Relationship Type="http://schemas.openxmlformats.org/officeDocument/2006/relationships/worksheet" Target="/xl/worksheets/sheet1.xml" Id="R569fea8f363a4a8e" /><Relationship Type="http://schemas.openxmlformats.org/officeDocument/2006/relationships/worksheet" Target="/xl/worksheets/sheet2.xml" Id="Ra3637f0bf3a34897" /><Relationship Type="http://schemas.openxmlformats.org/officeDocument/2006/relationships/worksheet" Target="/xl/worksheets/sheet3.xml" Id="R49e3a269adc945c3" /><Relationship Type="http://schemas.openxmlformats.org/officeDocument/2006/relationships/worksheet" Target="/xl/worksheets/sheet4.xml" Id="Rb489ad9f75fd487e" /><Relationship Type="http://schemas.openxmlformats.org/officeDocument/2006/relationships/worksheet" Target="/xl/worksheets/sheet5.xml" Id="Ra347c368d1e34dbf" /><Relationship Type="http://schemas.openxmlformats.org/officeDocument/2006/relationships/worksheet" Target="/xl/worksheets/sheet6.xml" Id="R5bb9778ed7f64a21" /><Relationship Type="http://schemas.openxmlformats.org/officeDocument/2006/relationships/worksheet" Target="/xl/worksheets/sheet7.xml" Id="R2ffc6e3886b14060" /><Relationship Type="http://schemas.openxmlformats.org/officeDocument/2006/relationships/worksheet" Target="/xl/worksheets/sheet8.xml" Id="Rf2e2b081e31f4899" /><Relationship Type="http://schemas.openxmlformats.org/officeDocument/2006/relationships/worksheet" Target="/xl/worksheets/sheet9.xml" Id="R2edc0b3da4754f55" /><Relationship Type="http://schemas.openxmlformats.org/officeDocument/2006/relationships/worksheet" Target="/xl/worksheets/sheet10.xml" Id="R3c426db535b44a1c" /><Relationship Type="http://schemas.openxmlformats.org/officeDocument/2006/relationships/worksheet" Target="/xl/worksheets/sheet11.xml" Id="Rfe9ecd6cad8c4ea1" /><Relationship Type="http://schemas.openxmlformats.org/officeDocument/2006/relationships/worksheet" Target="/xl/worksheets/sheet12.xml" Id="R16273ab6c6f64b73" /><Relationship Type="http://schemas.openxmlformats.org/officeDocument/2006/relationships/worksheet" Target="/xl/worksheets/sheet13.xml" Id="R7212c1d378e24aed" /></Relationships>
</file>

<file path=xl/tables/table1.xml><?xml version="1.0" encoding="utf-8"?>
<x:table xmlns:x="http://schemas.openxmlformats.org/spreadsheetml/2006/main" id="13" name="MethodsSummary" displayName="MethodsSummary" ref="A8:H20" headerRowCount="1" totalsRowCount="0" totalsRowShown="0">
  <x:tableColumns count="8">
    <x:tableColumn id="1" name="Phương pháp"/>
    <x:tableColumn id="2" name="Sheet"/>
    <x:tableColumn id="3" name="Số case"/>
    <x:tableColumn id="4" name="PASS"/>
    <x:tableColumn id="5" name="Chưa chạy"/>
    <x:tableColumn id="6" name="Known bug"/>
    <x:tableColumn id="7" name="FAIL"/>
    <x:tableColumn id="8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BvaCases" displayName="BvaCases" ref="A6:H39" headerRowCount="1" totalsRowCount="0" totalsRowShown="0">
  <x:tableColumns count="8">
    <x:tableColumn id="1" name="Case ID"/>
    <x:tableColumn id="2" name="Test file"/>
    <x:tableColumn id="3" name="Field / rule"/>
    <x:tableColumn id="4" name="BVA point"/>
    <x:tableColumn id="5" name="Test data"/>
    <x:tableColumn id="6" name="Expected result"/>
    <x:tableColumn id="7" name="Test type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quivalenceCases" displayName="EquivalenceCases" ref="A6:H27" headerRowCount="1" totalsRowCount="0" totalsRowShown="0">
  <x:tableColumns count="8">
    <x:tableColumn id="1" name="Case ID"/>
    <x:tableColumn id="2" name="Source test"/>
    <x:tableColumn id="3" name="Test category"/>
    <x:tableColumn id="4" name="Input / condition"/>
    <x:tableColumn id="5" name="Expected result"/>
    <x:tableColumn id="6" name="Actual / evidence"/>
    <x:tableColumn id="7" name="Status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ecisionCases" displayName="DecisionCases" ref="A6:H19" headerRowCount="1" totalsRowCount="0" totalsRowShown="0">
  <x:tableColumns count="8">
    <x:tableColumn id="1" name="Case ID"/>
    <x:tableColumn id="2" name="Source test"/>
    <x:tableColumn id="3" name="Test category"/>
    <x:tableColumn id="4" name="Input / condition"/>
    <x:tableColumn id="5" name="Expected result"/>
    <x:tableColumn id="6" name="Actual / evidence"/>
    <x:tableColumn id="7" name="Status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tateCases" displayName="StateCases" ref="A6:H14" headerRowCount="1" totalsRowCount="0" totalsRowShown="0">
  <x:tableColumns count="8">
    <x:tableColumn id="1" name="Case ID"/>
    <x:tableColumn id="2" name="Source test"/>
    <x:tableColumn id="3" name="Test category"/>
    <x:tableColumn id="4" name="Input / condition"/>
    <x:tableColumn id="5" name="Expected result"/>
    <x:tableColumn id="6" name="Actual / evidence"/>
    <x:tableColumn id="7" name="Status"/>
    <x:tableColumn id="8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NegativeCases" displayName="NegativeCases" ref="A6:H28" headerRowCount="1" totalsRowCount="0" totalsRowShown="0">
  <x:tableColumns count="8">
    <x:tableColumn id="1" name="Case ID"/>
    <x:tableColumn id="2" name="Source test"/>
    <x:tableColumn id="3" name="Test category"/>
    <x:tableColumn id="4" name="Input / condition"/>
    <x:tableColumn id="5" name="Expected result"/>
    <x:tableColumn id="6" name="Actual / evidence"/>
    <x:tableColumn id="7" name="Status"/>
    <x:tableColumn id="8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UnitCases" displayName="UnitCases" ref="A6:H33" headerRowCount="1" totalsRowCount="0" totalsRowShown="0">
  <x:tableColumns count="8">
    <x:tableColumn id="1" name="Test class"/>
    <x:tableColumn id="2" name="Module"/>
    <x:tableColumn id="3" name="Test count"/>
    <x:tableColumn id="4" name="Failures"/>
    <x:tableColumn id="5" name="Errors"/>
    <x:tableColumn id="6" name="Skipped"/>
    <x:tableColumn id="7" name="Status"/>
    <x:tableColumn id="8" name="Foc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2ECases" displayName="E2ECases" ref="A6:H23" headerRowCount="1" totalsRowCount="0" totalsRowShown="0">
  <x:tableColumns count="8">
    <x:tableColumn id="1" name="Case ID"/>
    <x:tableColumn id="2" name="Module"/>
    <x:tableColumn id="3" name="Priority"/>
    <x:tableColumn id="4" name="Type"/>
    <x:tableColumn id="5" name="Expected result"/>
    <x:tableColumn id="6" name="SRS"/>
    <x:tableColumn id="7" name="Status"/>
    <x:tableColumn id="8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SmokeCases" displayName="SmokeCases" ref="A6:H11" headerRowCount="1" totalsRowCount="0" totalsRowShown="0">
  <x:tableColumns count="8">
    <x:tableColumn id="1" name="Case ID"/>
    <x:tableColumn id="2" name="Module"/>
    <x:tableColumn id="3" name="Priority"/>
    <x:tableColumn id="4" name="Type"/>
    <x:tableColumn id="5" name="Expected result"/>
    <x:tableColumn id="6" name="SRS"/>
    <x:tableColumn id="7" name="Status"/>
    <x:tableColumn id="8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FunctionalCases" displayName="FunctionalCases" ref="A6:H14" headerRowCount="1" totalsRowCount="0" totalsRowShown="0">
  <x:tableColumns count="8">
    <x:tableColumn id="1" name="Case ID"/>
    <x:tableColumn id="2" name="Module"/>
    <x:tableColumn id="3" name="Priority"/>
    <x:tableColumn id="4" name="Type"/>
    <x:tableColumn id="5" name="Expected result"/>
    <x:tableColumn id="6" name="SRS"/>
    <x:tableColumn id="7" name="Status"/>
    <x:tableColumn id="8" name="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SecurityCases" displayName="SecurityCases" ref="A6:H11" headerRowCount="1" totalsRowCount="0" totalsRowShown="0">
  <x:tableColumns count="8">
    <x:tableColumn id="1" name="Case ID"/>
    <x:tableColumn id="2" name="Module"/>
    <x:tableColumn id="3" name="Priority"/>
    <x:tableColumn id="4" name="Type"/>
    <x:tableColumn id="5" name="Expected result"/>
    <x:tableColumn id="6" name="SRS"/>
    <x:tableColumn id="7" name="Status"/>
    <x:tableColumn id="8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IntegrationCases" displayName="IntegrationCases" ref="A6:H10" headerRowCount="1" totalsRowCount="0" totalsRowShown="0">
  <x:tableColumns count="8">
    <x:tableColumn id="1" name="Case ID"/>
    <x:tableColumn id="2" name="Module"/>
    <x:tableColumn id="3" name="Priority"/>
    <x:tableColumn id="4" name="Type"/>
    <x:tableColumn id="5" name="Expected result"/>
    <x:tableColumn id="6" name="SRS"/>
    <x:tableColumn id="7" name="Status"/>
    <x:tableColumn id="8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ErrorGuessingCases" displayName="ErrorGuessingCases" ref="A6:H12" headerRowCount="1" totalsRowCount="0" totalsRowShown="0">
  <x:tableColumns count="8">
    <x:tableColumn id="1" name="Case ID"/>
    <x:tableColumn id="2" name="Source test"/>
    <x:tableColumn id="3" name="Test category"/>
    <x:tableColumn id="4" name="Input / condition"/>
    <x:tableColumn id="5" name="Expected result"/>
    <x:tableColumn id="6" name="Actual / evidence"/>
    <x:tableColumn id="7" name="Status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01d183a13944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475b90d0c4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f86132acda4d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b404e3205f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8078a00c3c4e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ce7370d0c8141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cb8815582147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181476684d46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0dc2e7d99424f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02346165cd44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a8adaa58cd444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14c74b705c849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c17e4cb95ef48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28" t="str">
        <x:v>CAREERCOMPASS — TEST REPORT TỔNG HỢP THEO PHƯƠNG PHÁP</x:v>
      </x:c>
      <x:c r="B1" s="28"/>
      <x:c r="C1" s="28"/>
      <x:c r="D1" s="28"/>
      <x:c r="E1" s="28"/>
      <x:c r="F1" s="28"/>
      <x:c r="G1" s="28"/>
      <x:c r="H1" s="28"/>
    </x:row>
    <x:row r="2" ht="28" customHeight="1">
      <x:c r="A2" s="5" t="str">
        <x:v>Mỗi sheet là một bảng riêng. Các kỹ thuật thiết kế có thể ánh xạ tới cùng một unit test; các loại E2E được tách riêng theo mục đích kiểm thử.</x:v>
      </x:c>
      <x:c r="B2" s="5"/>
      <x:c r="C2" s="5"/>
      <x:c r="D2" s="5"/>
      <x:c r="E2" s="5"/>
      <x:c r="F2" s="5"/>
      <x:c r="G2" s="5"/>
      <x:c r="H2" s="5"/>
    </x:row>
    <x:row r="4" ht="22" customHeight="1">
      <x:c r="A4" s="8" t="str">
        <x:v>Dự án</x:v>
      </x:c>
      <x:c r="B4" s="29" t="str">
        <x:v>CareerCompass</x:v>
      </x:c>
    </x:row>
    <x:row r="5" ht="22" customHeight="1">
      <x:c r="A5" s="8" t="str">
        <x:v>Ngày tổng hợp</x:v>
      </x:c>
      <x:c r="B5" s="29" t="str">
        <x:v>2026-08-19</x:v>
      </x:c>
    </x:row>
    <x:row r="6" ht="22" customHeight="1">
      <x:c r="A6" s="8" t="str">
        <x:v>Nguồn</x:v>
      </x:c>
      <x:c r="B6" s="29" t="str">
        <x:v>src/test/java + e2e/support/catalog.js</x:v>
      </x:c>
    </x:row>
    <x:row r="8">
      <x:c r="A8" s="14" t="str">
        <x:v>Phương pháp</x:v>
      </x:c>
      <x:c r="B8" s="14" t="str">
        <x:v>Sheet</x:v>
      </x:c>
      <x:c r="C8" s="14" t="str">
        <x:v>Số case</x:v>
      </x:c>
      <x:c r="D8" s="14" t="str">
        <x:v>PASS</x:v>
      </x:c>
      <x:c r="E8" s="14" t="str">
        <x:v>Chưa chạy</x:v>
      </x:c>
      <x:c r="F8" s="14" t="str">
        <x:v>Known bug</x:v>
      </x:c>
      <x:c r="G8" s="14" t="str">
        <x:v>FAIL</x:v>
      </x:c>
      <x:c r="H8" s="14" t="str">
        <x:v>Ghi chú</x:v>
      </x:c>
    </x:row>
    <x:row r="9" ht="27" customHeight="1">
      <x:c r="A9" s="18" t="str">
        <x:v>BVA</x:v>
      </x:c>
      <x:c r="B9" s="18" t="str">
        <x:v>01. BVA</x:v>
      </x:c>
      <x:c r="C9" s="18" t="n">
        <x:f>COUNTA('01. BVA'!$A$7:$A$39)</x:f>
        <x:v>33</x:v>
      </x:c>
      <x:c r="D9" s="18" t="n">
        <x:f>COUNTIF('01. BVA'!$H$7:$H$39,"PASS")</x:f>
        <x:v>33</x:v>
      </x:c>
      <x:c r="E9" s="18" t="n">
        <x:f>COUNTIF('01. BVA'!$H$7:$H$39,"Chưa chạy")</x:f>
        <x:v>0</x:v>
      </x:c>
      <x:c r="F9" s="18" t="n">
        <x:f>COUNTIF('01. BVA'!$H$7:$H$39,"KNOWN BUG")</x:f>
        <x:v>0</x:v>
      </x:c>
      <x:c r="G9" s="18" t="n">
        <x:f>COUNTIF('01. BVA'!$H$7:$H$39,"FAIL")</x:f>
        <x:v>0</x:v>
      </x:c>
      <x:c r="H9" s="18" t="str">
        <x:v>Normal BVA 5 điểm + robust/negative</x:v>
      </x:c>
    </x:row>
    <x:row r="10" ht="27" customHeight="1">
      <x:c r="A10" s="17" t="str">
        <x:v>Equivalence Partitioning</x:v>
      </x:c>
      <x:c r="B10" s="17" t="str">
        <x:v>02. Equiv Partition</x:v>
      </x:c>
      <x:c r="C10" s="17" t="n">
        <x:f>COUNTA('02. Equiv Partition'!$A$7:$A$27)</x:f>
        <x:v>21</x:v>
      </x:c>
      <x:c r="D10" s="17" t="n">
        <x:f>COUNTIF('02. Equiv Partition'!$G$7:$G$27,"PASS")</x:f>
        <x:v>21</x:v>
      </x:c>
      <x:c r="E10" s="17" t="n">
        <x:f>COUNTIF('02. Equiv Partition'!$G$7:$G$27,"Chưa chạy")</x:f>
        <x:v>0</x:v>
      </x:c>
      <x:c r="F10" s="17" t="n">
        <x:f>COUNTIF('02. Equiv Partition'!$G$7:$G$27,"KNOWN BUG")</x:f>
        <x:v>0</x:v>
      </x:c>
      <x:c r="G10" s="17" t="n">
        <x:f>COUNTIF('02. Equiv Partition'!$G$7:$G$27,"FAIL")</x:f>
        <x:v>0</x:v>
      </x:c>
      <x:c r="H10" s="17" t="str">
        <x:v>Các lớp hợp lệ/không hợp lệ</x:v>
      </x:c>
    </x:row>
    <x:row r="11" ht="27" customHeight="1">
      <x:c r="A11" s="18" t="str">
        <x:v>Decision Table</x:v>
      </x:c>
      <x:c r="B11" s="18" t="str">
        <x:v>03. Decision Table</x:v>
      </x:c>
      <x:c r="C11" s="18" t="n">
        <x:f>COUNTA('03. Decision Table'!$A$7:$A$19)</x:f>
        <x:v>13</x:v>
      </x:c>
      <x:c r="D11" s="18" t="n">
        <x:f>COUNTIF('03. Decision Table'!$G$7:$G$19,"PASS")</x:f>
        <x:v>13</x:v>
      </x:c>
      <x:c r="E11" s="18" t="n">
        <x:f>COUNTIF('03. Decision Table'!$G$7:$G$19,"Chưa chạy")</x:f>
        <x:v>0</x:v>
      </x:c>
      <x:c r="F11" s="18" t="n">
        <x:f>COUNTIF('03. Decision Table'!$G$7:$G$19,"KNOWN BUG")</x:f>
        <x:v>0</x:v>
      </x:c>
      <x:c r="G11" s="18" t="n">
        <x:f>COUNTIF('03. Decision Table'!$G$7:$G$19,"FAIL")</x:f>
        <x:v>0</x:v>
      </x:c>
      <x:c r="H11" s="18" t="str">
        <x:v>Tổ hợp điều kiện/quyết định</x:v>
      </x:c>
    </x:row>
    <x:row r="12" ht="27" customHeight="1">
      <x:c r="A12" s="17" t="str">
        <x:v>State Transition</x:v>
      </x:c>
      <x:c r="B12" s="17" t="str">
        <x:v>04. State Transition</x:v>
      </x:c>
      <x:c r="C12" s="17" t="n">
        <x:f>COUNTA('04. State Transition'!$A$7:$A$14)</x:f>
        <x:v>8</x:v>
      </x:c>
      <x:c r="D12" s="17" t="n">
        <x:f>COUNTIF('04. State Transition'!$G$7:$G$14,"PASS")</x:f>
        <x:v>7</x:v>
      </x:c>
      <x:c r="E12" s="17" t="n">
        <x:f>COUNTIF('04. State Transition'!$G$7:$G$14,"Chưa chạy")</x:f>
        <x:v>1</x:v>
      </x:c>
      <x:c r="F12" s="17" t="n">
        <x:f>COUNTIF('04. State Transition'!$G$7:$G$14,"KNOWN BUG")</x:f>
        <x:v>0</x:v>
      </x:c>
      <x:c r="G12" s="17" t="n">
        <x:f>COUNTIF('04. State Transition'!$G$7:$G$14,"FAIL")</x:f>
        <x:v>0</x:v>
      </x:c>
      <x:c r="H12" s="17" t="str">
        <x:v>Chuyển trạng thái</x:v>
      </x:c>
    </x:row>
    <x:row r="13" ht="27" customHeight="1">
      <x:c r="A13" s="18" t="str">
        <x:v>Negative Testing</x:v>
      </x:c>
      <x:c r="B13" s="18" t="str">
        <x:v>05. Negative Test</x:v>
      </x:c>
      <x:c r="C13" s="18" t="n">
        <x:f>COUNTA('05. Negative Test'!$A$7:$A$28)</x:f>
        <x:v>22</x:v>
      </x:c>
      <x:c r="D13" s="18" t="n">
        <x:f>COUNTIF('05. Negative Test'!$G$7:$G$28,"PASS")</x:f>
        <x:v>21</x:v>
      </x:c>
      <x:c r="E13" s="18" t="n">
        <x:f>COUNTIF('05. Negative Test'!$G$7:$G$28,"Chưa chạy")</x:f>
        <x:v>0</x:v>
      </x:c>
      <x:c r="F13" s="18" t="n">
        <x:f>COUNTIF('05. Negative Test'!$G$7:$G$28,"KNOWN BUG")</x:f>
        <x:v>1</x:v>
      </x:c>
      <x:c r="G13" s="18" t="n">
        <x:f>COUNTIF('05. Negative Test'!$G$7:$G$28,"FAIL")</x:f>
        <x:v>0</x:v>
      </x:c>
      <x:c r="H13" s="18" t="str">
        <x:v>Input/dependency lỗi</x:v>
      </x:c>
    </x:row>
    <x:row r="14" ht="27" customHeight="1">
      <x:c r="A14" s="17" t="str">
        <x:v>Unit Testing</x:v>
      </x:c>
      <x:c r="B14" s="17" t="str">
        <x:v>06. Unit Test</x:v>
      </x:c>
      <x:c r="C14" s="17" t="n">
        <x:f>COUNTA('06. Unit Test'!$A$7:$A$33)</x:f>
        <x:v>27</x:v>
      </x:c>
      <x:c r="D14" s="17" t="n">
        <x:f>COUNTIF('06. Unit Test'!$G$7:$G$33,"PASS")</x:f>
        <x:v>27</x:v>
      </x:c>
      <x:c r="E14" s="17" t="n">
        <x:f>COUNTIF('06. Unit Test'!$G$7:$G$33,"Chưa chạy")</x:f>
        <x:v>0</x:v>
      </x:c>
      <x:c r="F14" s="17" t="n">
        <x:f>COUNTIF('06. Unit Test'!$G$7:$G$33,"KNOWN BUG")</x:f>
        <x:v>0</x:v>
      </x:c>
      <x:c r="G14" s="17" t="n">
        <x:f>COUNTIF('06. Unit Test'!$G$7:$G$33,"FAIL")</x:f>
        <x:v>0</x:v>
      </x:c>
      <x:c r="H14" s="17" t="str">
        <x:v>JUnit/Maven, 231 test</x:v>
      </x:c>
    </x:row>
    <x:row r="15" ht="27" customHeight="1">
      <x:c r="A15" s="18" t="str">
        <x:v>E2E/UI Testing</x:v>
      </x:c>
      <x:c r="B15" s="18" t="str">
        <x:v>07. E2E UI</x:v>
      </x:c>
      <x:c r="C15" s="18" t="n">
        <x:f>COUNTA('07. E2E UI'!$A$7:$A$23)</x:f>
        <x:v>17</x:v>
      </x:c>
      <x:c r="D15" s="18" t="n">
        <x:f>COUNTIF('07. E2E UI'!$G$7:$G$23,"PASS")</x:f>
        <x:v>0</x:v>
      </x:c>
      <x:c r="E15" s="18" t="n">
        <x:f>COUNTIF('07. E2E UI'!$G$7:$G$23,"Chưa chạy")</x:f>
        <x:v>17</x:v>
      </x:c>
      <x:c r="F15" s="18" t="n">
        <x:f>COUNTIF('07. E2E UI'!$G$7:$G$23,"KNOWN BUG")</x:f>
        <x:v>0</x:v>
      </x:c>
      <x:c r="G15" s="18" t="n">
        <x:f>COUNTIF('07. E2E UI'!$G$7:$G$23,"FAIL")</x:f>
        <x:v>0</x:v>
      </x:c>
      <x:c r="H15" s="18" t="str">
        <x:v>17 scenario, chưa chạy</x:v>
      </x:c>
    </x:row>
    <x:row r="16" ht="27" customHeight="1">
      <x:c r="A16" s="17" t="str">
        <x:v>Smoke Testing</x:v>
      </x:c>
      <x:c r="B16" s="17" t="str">
        <x:v>08. Smoke</x:v>
      </x:c>
      <x:c r="C16" s="17" t="n">
        <x:f>COUNTA('08. Smoke'!$A$7:$A$11)</x:f>
        <x:v>5</x:v>
      </x:c>
      <x:c r="D16" s="17" t="n">
        <x:f>COUNTIF('08. Smoke'!$G$7:$G$11,"PASS")</x:f>
        <x:v>0</x:v>
      </x:c>
      <x:c r="E16" s="17" t="n">
        <x:f>COUNTIF('08. Smoke'!$G$7:$G$11,"Chưa chạy")</x:f>
        <x:v>5</x:v>
      </x:c>
      <x:c r="F16" s="17" t="n">
        <x:f>COUNTIF('08. Smoke'!$G$7:$G$11,"KNOWN BUG")</x:f>
        <x:v>0</x:v>
      </x:c>
      <x:c r="G16" s="17" t="n">
        <x:f>COUNTIF('08. Smoke'!$G$7:$G$11,"FAIL")</x:f>
        <x:v>0</x:v>
      </x:c>
      <x:c r="H16" s="17" t="str">
        <x:v>Subset luồng sống còn</x:v>
      </x:c>
    </x:row>
    <x:row r="17" ht="27" customHeight="1">
      <x:c r="A17" s="18" t="str">
        <x:v>Functional Testing</x:v>
      </x:c>
      <x:c r="B17" s="18" t="str">
        <x:v>09. Functional</x:v>
      </x:c>
      <x:c r="C17" s="18" t="n">
        <x:f>COUNTA('09. Functional'!$A$7:$A$14)</x:f>
        <x:v>8</x:v>
      </x:c>
      <x:c r="D17" s="18" t="n">
        <x:f>COUNTIF('09. Functional'!$G$7:$G$14,"PASS")</x:f>
        <x:v>0</x:v>
      </x:c>
      <x:c r="E17" s="18" t="n">
        <x:f>COUNTIF('09. Functional'!$G$7:$G$14,"Chưa chạy")</x:f>
        <x:v>8</x:v>
      </x:c>
      <x:c r="F17" s="18" t="n">
        <x:f>COUNTIF('09. Functional'!$G$7:$G$14,"KNOWN BUG")</x:f>
        <x:v>0</x:v>
      </x:c>
      <x:c r="G17" s="18" t="n">
        <x:f>COUNTIF('09. Functional'!$G$7:$G$14,"FAIL")</x:f>
        <x:v>0</x:v>
      </x:c>
      <x:c r="H17" s="18" t="str">
        <x:v>User flow/chức năng</x:v>
      </x:c>
    </x:row>
    <x:row r="18" ht="27" customHeight="1">
      <x:c r="A18" s="17" t="str">
        <x:v>Security Testing</x:v>
      </x:c>
      <x:c r="B18" s="17" t="str">
        <x:v>10. Security</x:v>
      </x:c>
      <x:c r="C18" s="17" t="n">
        <x:f>COUNTA('10. Security'!$A$7:$A$11)</x:f>
        <x:v>5</x:v>
      </x:c>
      <x:c r="D18" s="17" t="n">
        <x:f>COUNTIF('10. Security'!$G$7:$G$11,"PASS")</x:f>
        <x:v>0</x:v>
      </x:c>
      <x:c r="E18" s="17" t="n">
        <x:f>COUNTIF('10. Security'!$G$7:$G$11,"Chưa chạy")</x:f>
        <x:v>5</x:v>
      </x:c>
      <x:c r="F18" s="17" t="n">
        <x:f>COUNTIF('10. Security'!$G$7:$G$11,"KNOWN BUG")</x:f>
        <x:v>0</x:v>
      </x:c>
      <x:c r="G18" s="17" t="n">
        <x:f>COUNTIF('10. Security'!$G$7:$G$11,"FAIL")</x:f>
        <x:v>0</x:v>
      </x:c>
      <x:c r="H18" s="17" t="str">
        <x:v>Auth/authz</x:v>
      </x:c>
    </x:row>
    <x:row r="19" ht="27" customHeight="1">
      <x:c r="A19" s="18" t="str">
        <x:v>Integration Testing</x:v>
      </x:c>
      <x:c r="B19" s="18" t="str">
        <x:v>11. Integration</x:v>
      </x:c>
      <x:c r="C19" s="18" t="n">
        <x:f>COUNTA('11. Integration'!$A$7:$A$10)</x:f>
        <x:v>4</x:v>
      </x:c>
      <x:c r="D19" s="18" t="n">
        <x:f>COUNTIF('11. Integration'!$G$7:$G$10,"PASS")</x:f>
        <x:v>0</x:v>
      </x:c>
      <x:c r="E19" s="18" t="n">
        <x:f>COUNTIF('11. Integration'!$G$7:$G$10,"Chưa chạy")</x:f>
        <x:v>4</x:v>
      </x:c>
      <x:c r="F19" s="18" t="n">
        <x:f>COUNTIF('11. Integration'!$G$7:$G$10,"KNOWN BUG")</x:f>
        <x:v>0</x:v>
      </x:c>
      <x:c r="G19" s="18" t="n">
        <x:f>COUNTIF('11. Integration'!$G$7:$G$10,"FAIL")</x:f>
        <x:v>0</x:v>
      </x:c>
      <x:c r="H19" s="18" t="str">
        <x:v>Ghép module/giao diện</x:v>
      </x:c>
    </x:row>
    <x:row r="20" ht="27" customHeight="1">
      <x:c r="A20" s="17" t="str">
        <x:v>Error Guessing</x:v>
      </x:c>
      <x:c r="B20" s="17" t="str">
        <x:v>12. Error Guessing</x:v>
      </x:c>
      <x:c r="C20" s="17" t="n">
        <x:f>COUNTA('12. Error Guessing'!$A$7:$A$12)</x:f>
        <x:v>6</x:v>
      </x:c>
      <x:c r="D20" s="17" t="n">
        <x:f>COUNTIF('12. Error Guessing'!$G$7:$G$12,"PASS")</x:f>
        <x:v>3</x:v>
      </x:c>
      <x:c r="E20" s="17" t="n">
        <x:f>COUNTIF('12. Error Guessing'!$G$7:$G$12,"Chưa chạy")</x:f>
        <x:v>1</x:v>
      </x:c>
      <x:c r="F20" s="17" t="n">
        <x:f>COUNTIF('12. Error Guessing'!$G$7:$G$12,"KNOWN BUG")</x:f>
        <x:v>2</x:v>
      </x:c>
      <x:c r="G20" s="17" t="n">
        <x:f>COUNTIF('12. Error Guessing'!$G$7:$G$12,"FAIL")</x:f>
        <x:v>0</x:v>
      </x:c>
      <x:c r="H20" s="17" t="str">
        <x:v>Risk/known bug</x:v>
      </x:c>
    </x:row>
    <x:row r="22" ht="38" customHeight="1">
      <x:c r="A22" s="32" t="str">
        <x:v>Lưu ý: các sheet Equivalence/Decision/State/Negative/Error Guessing là các góc nhìn thiết kế được ánh xạ từ test hiện có; không cộng dồn thành số lần chạy mới. Các sheet E2E/Smoke/Functional/Security/Integration đang Chưa chạy vì chưa có output/result.json.</x:v>
      </x:c>
      <x:c r="B22" s="32"/>
      <x:c r="C22" s="32"/>
      <x:c r="D22" s="32"/>
      <x:c r="E22" s="32"/>
      <x:c r="F22" s="32"/>
      <x:c r="G22" s="32"/>
      <x:c r="H22" s="32"/>
    </x:row>
  </x:sheetData>
  <x:mergeCells>
    <x:mergeCell ref="A1:H1"/>
    <x:mergeCell ref="A2:H2"/>
    <x:mergeCell ref="A22:H22"/>
  </x:mergeCells>
  <x:pageMargins left="0.7" right="0.7" top="0.75" bottom="0.75" header="0.3" footer="0.3"/>
  <x:tableParts count="1">
    <x:tablePart xmlns:r="http://schemas.openxmlformats.org/officeDocument/2006/relationships" r:id="R1901d183a13944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2" t="str">
        <x:v>BVA — Boundary Value Analysis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BVA chuẩn: min / min+1 / medium / max-1 / max. Các case robust/negative được giữ riêng. 33 case đã chạy PASS.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COUNTA($A$7:$A$39)</x:f>
        <x:v>33</x:v>
      </x:c>
      <x:c r="C4" s="9" t="str">
        <x:v>PASS</x:v>
      </x:c>
      <x:c r="D4" s="9" t="n">
        <x:f>COUNTIF($H$7:$H$39,"PASS")</x:f>
        <x:v>33</x:v>
      </x:c>
      <x:c r="E4" s="9" t="str">
        <x:v>Chưa chạy</x:v>
      </x:c>
      <x:c r="F4" s="9" t="n">
        <x:f>COUNTIF($H$7:$H$39,"Chưa chạy")</x:f>
        <x:v>0</x:v>
      </x:c>
      <x:c r="G4" s="9" t="str">
        <x:v>Known bug</x:v>
      </x:c>
      <x:c r="H4" s="9" t="n">
        <x:f>COUNTIF($H$7:$H$39,"KNOWN BUG")</x:f>
        <x:v>0</x:v>
      </x:c>
    </x:row>
    <x:row r="6" ht="28" customHeight="1">
      <x:c r="A6" s="14" t="str">
        <x:v>Case ID</x:v>
      </x:c>
      <x:c r="B6" s="14" t="str">
        <x:v>Test file</x:v>
      </x:c>
      <x:c r="C6" s="14" t="str">
        <x:v>Field / rule</x:v>
      </x:c>
      <x:c r="D6" s="14" t="str">
        <x:v>BVA point</x:v>
      </x:c>
      <x:c r="E6" s="14" t="str">
        <x:v>Test data</x:v>
      </x:c>
      <x:c r="F6" s="14" t="str">
        <x:v>Expected result</x:v>
      </x:c>
      <x:c r="G6" s="14" t="str">
        <x:v>Test type</x:v>
      </x:c>
      <x:c r="H6" s="14" t="str">
        <x:v>Status</x:v>
      </x:c>
    </x:row>
    <x:row r="7" ht="27" customHeight="1">
      <x:c r="A7" s="18" t="str">
        <x:v>BVA-001</x:v>
      </x:c>
      <x:c r="B7" s="18" t="str">
        <x:v>RegisterFormDTOBvaTest.java</x:v>
      </x:c>
      <x:c r="C7" s="18" t="str">
        <x:v>fullName @NotBlank + @Size(max=100)</x:v>
      </x:c>
      <x:c r="D7" s="18" t="str">
        <x:v>min</x:v>
      </x:c>
      <x:c r="E7" s="18" t="str">
        <x:v>1 ký tự</x:v>
      </x:c>
      <x:c r="F7" s="18" t="str">
        <x:v>Hợp lệ</x:v>
      </x:c>
      <x:c r="G7" s="18" t="str">
        <x:v>Normal BVA</x:v>
      </x:c>
      <x:c r="H7" s="21" t="str">
        <x:v>PASS</x:v>
      </x:c>
    </x:row>
    <x:row r="8" ht="27" customHeight="1">
      <x:c r="A8" s="17" t="str">
        <x:v>BVA-002</x:v>
      </x:c>
      <x:c r="B8" s="17" t="str">
        <x:v>RegisterFormDTOBvaTest.java</x:v>
      </x:c>
      <x:c r="C8" s="17" t="str">
        <x:v>fullName @NotBlank + @Size(max=100)</x:v>
      </x:c>
      <x:c r="D8" s="17" t="str">
        <x:v>min+1</x:v>
      </x:c>
      <x:c r="E8" s="17" t="str">
        <x:v>2 ký tự</x:v>
      </x:c>
      <x:c r="F8" s="17" t="str">
        <x:v>Hợp lệ</x:v>
      </x:c>
      <x:c r="G8" s="17" t="str">
        <x:v>Normal BVA</x:v>
      </x:c>
      <x:c r="H8" s="21" t="str">
        <x:v>PASS</x:v>
      </x:c>
    </x:row>
    <x:row r="9" ht="27" customHeight="1">
      <x:c r="A9" s="18" t="str">
        <x:v>BVA-003</x:v>
      </x:c>
      <x:c r="B9" s="18" t="str">
        <x:v>RegisterFormDTOBvaTest.java</x:v>
      </x:c>
      <x:c r="C9" s="18" t="str">
        <x:v>fullName @NotBlank + @Size(max=100)</x:v>
      </x:c>
      <x:c r="D9" s="18" t="str">
        <x:v>medium</x:v>
      </x:c>
      <x:c r="E9" s="18" t="str">
        <x:v>50 ký tự</x:v>
      </x:c>
      <x:c r="F9" s="18" t="str">
        <x:v>Hợp lệ</x:v>
      </x:c>
      <x:c r="G9" s="18" t="str">
        <x:v>Normal BVA</x:v>
      </x:c>
      <x:c r="H9" s="21" t="str">
        <x:v>PASS</x:v>
      </x:c>
    </x:row>
    <x:row r="10" ht="27" customHeight="1">
      <x:c r="A10" s="17" t="str">
        <x:v>BVA-004</x:v>
      </x:c>
      <x:c r="B10" s="17" t="str">
        <x:v>RegisterFormDTOBvaTest.java</x:v>
      </x:c>
      <x:c r="C10" s="17" t="str">
        <x:v>fullName @NotBlank + @Size(max=100)</x:v>
      </x:c>
      <x:c r="D10" s="17" t="str">
        <x:v>max-1</x:v>
      </x:c>
      <x:c r="E10" s="17" t="str">
        <x:v>99 ký tự</x:v>
      </x:c>
      <x:c r="F10" s="17" t="str">
        <x:v>Hợp lệ</x:v>
      </x:c>
      <x:c r="G10" s="17" t="str">
        <x:v>Normal BVA</x:v>
      </x:c>
      <x:c r="H10" s="21" t="str">
        <x:v>PASS</x:v>
      </x:c>
    </x:row>
    <x:row r="11" ht="27" customHeight="1">
      <x:c r="A11" s="18" t="str">
        <x:v>BVA-005</x:v>
      </x:c>
      <x:c r="B11" s="18" t="str">
        <x:v>RegisterFormDTOBvaTest.java</x:v>
      </x:c>
      <x:c r="C11" s="18" t="str">
        <x:v>fullName @NotBlank + @Size(max=100)</x:v>
      </x:c>
      <x:c r="D11" s="18" t="str">
        <x:v>max</x:v>
      </x:c>
      <x:c r="E11" s="18" t="str">
        <x:v>100 ký tự</x:v>
      </x:c>
      <x:c r="F11" s="18" t="str">
        <x:v>Hợp lệ</x:v>
      </x:c>
      <x:c r="G11" s="18" t="str">
        <x:v>Normal BVA</x:v>
      </x:c>
      <x:c r="H11" s="21" t="str">
        <x:v>PASS</x:v>
      </x:c>
    </x:row>
    <x:row r="12" ht="27" customHeight="1">
      <x:c r="A12" s="17" t="str">
        <x:v>BVA-006</x:v>
      </x:c>
      <x:c r="B12" s="17" t="str">
        <x:v>RegisterFormDTOBvaTest.java</x:v>
      </x:c>
      <x:c r="C12" s="17" t="str">
        <x:v>fullName @NotBlank + @Size(max=100)</x:v>
      </x:c>
      <x:c r="D12" s="17" t="str">
        <x:v>min-1</x:v>
      </x:c>
      <x:c r="E12" s="17" t="str">
        <x:v>Chuỗi rỗng (0 ký tự)</x:v>
      </x:c>
      <x:c r="F12" s="17" t="str">
        <x:v>Vi phạm @NotBlank</x:v>
      </x:c>
      <x:c r="G12" s="17" t="str">
        <x:v>Robust BVA</x:v>
      </x:c>
      <x:c r="H12" s="21" t="str">
        <x:v>PASS</x:v>
      </x:c>
    </x:row>
    <x:row r="13" ht="27" customHeight="1">
      <x:c r="A13" s="18" t="str">
        <x:v>BVA-007</x:v>
      </x:c>
      <x:c r="B13" s="18" t="str">
        <x:v>RegisterFormDTOBvaTest.java</x:v>
      </x:c>
      <x:c r="C13" s="18" t="str">
        <x:v>fullName @NotBlank + @Size(max=100)</x:v>
      </x:c>
      <x:c r="D13" s="18" t="str">
        <x:v>negative</x:v>
      </x:c>
      <x:c r="E13" s="18" t="str">
        <x:v>Chỉ khoảng trắng</x:v>
      </x:c>
      <x:c r="F13" s="18" t="str">
        <x:v>Vi phạm @NotBlank</x:v>
      </x:c>
      <x:c r="G13" s="18" t="str">
        <x:v>Negative</x:v>
      </x:c>
      <x:c r="H13" s="21" t="str">
        <x:v>PASS</x:v>
      </x:c>
    </x:row>
    <x:row r="14" ht="27" customHeight="1">
      <x:c r="A14" s="17" t="str">
        <x:v>BVA-008</x:v>
      </x:c>
      <x:c r="B14" s="17" t="str">
        <x:v>RegisterFormDTOBvaTest.java</x:v>
      </x:c>
      <x:c r="C14" s="17" t="str">
        <x:v>fullName @NotBlank + @Size(max=100)</x:v>
      </x:c>
      <x:c r="D14" s="17" t="str">
        <x:v>negative</x:v>
      </x:c>
      <x:c r="E14" s="17" t="str">
        <x:v>null</x:v>
      </x:c>
      <x:c r="F14" s="17" t="str">
        <x:v>Vi phạm @NotBlank</x:v>
      </x:c>
      <x:c r="G14" s="17" t="str">
        <x:v>Negative</x:v>
      </x:c>
      <x:c r="H14" s="21" t="str">
        <x:v>PASS</x:v>
      </x:c>
    </x:row>
    <x:row r="15" ht="27" customHeight="1">
      <x:c r="A15" s="18" t="str">
        <x:v>BVA-009</x:v>
      </x:c>
      <x:c r="B15" s="18" t="str">
        <x:v>RegisterFormDTOBvaTest.java</x:v>
      </x:c>
      <x:c r="C15" s="18" t="str">
        <x:v>fullName @NotBlank + @Size(max=100)</x:v>
      </x:c>
      <x:c r="D15" s="18" t="str">
        <x:v>max+1</x:v>
      </x:c>
      <x:c r="E15" s="18" t="str">
        <x:v>101 ký tự</x:v>
      </x:c>
      <x:c r="F15" s="18" t="str">
        <x:v>Vi phạm @Size(max=100)</x:v>
      </x:c>
      <x:c r="G15" s="18" t="str">
        <x:v>Robust BVA</x:v>
      </x:c>
      <x:c r="H15" s="21" t="str">
        <x:v>PASS</x:v>
      </x:c>
    </x:row>
    <x:row r="16" ht="27" customHeight="1">
      <x:c r="A16" s="17" t="str">
        <x:v>BVA-010</x:v>
      </x:c>
      <x:c r="B16" s="17" t="str">
        <x:v>RegisterFormDTOBvaTest.java</x:v>
      </x:c>
      <x:c r="C16" s="17" t="str">
        <x:v>email @Email + @Size(max=150)</x:v>
      </x:c>
      <x:c r="D16" s="17" t="str">
        <x:v>min</x:v>
      </x:c>
      <x:c r="E16" s="17" t="str">
        <x:v>Email hợp lệ ngắn nhất: 6 ký tự</x:v>
      </x:c>
      <x:c r="F16" s="17" t="str">
        <x:v>Hợp lệ</x:v>
      </x:c>
      <x:c r="G16" s="17" t="str">
        <x:v>Normal BVA</x:v>
      </x:c>
      <x:c r="H16" s="21" t="str">
        <x:v>PASS</x:v>
      </x:c>
    </x:row>
    <x:row r="17" ht="27" customHeight="1">
      <x:c r="A17" s="18" t="str">
        <x:v>BVA-011</x:v>
      </x:c>
      <x:c r="B17" s="18" t="str">
        <x:v>RegisterFormDTOBvaTest.java</x:v>
      </x:c>
      <x:c r="C17" s="18" t="str">
        <x:v>email @Email + @Size(max=150)</x:v>
      </x:c>
      <x:c r="D17" s="18" t="str">
        <x:v>min+1</x:v>
      </x:c>
      <x:c r="E17" s="18" t="str">
        <x:v>Email hợp lệ 7 ký tự</x:v>
      </x:c>
      <x:c r="F17" s="18" t="str">
        <x:v>Hợp lệ</x:v>
      </x:c>
      <x:c r="G17" s="18" t="str">
        <x:v>Normal BVA</x:v>
      </x:c>
      <x:c r="H17" s="21" t="str">
        <x:v>PASS</x:v>
      </x:c>
    </x:row>
    <x:row r="18" ht="27" customHeight="1">
      <x:c r="A18" s="17" t="str">
        <x:v>BVA-012</x:v>
      </x:c>
      <x:c r="B18" s="17" t="str">
        <x:v>RegisterFormDTOBvaTest.java</x:v>
      </x:c>
      <x:c r="C18" s="17" t="str">
        <x:v>email @Email + @Size(max=150)</x:v>
      </x:c>
      <x:c r="D18" s="17" t="str">
        <x:v>medium</x:v>
      </x:c>
      <x:c r="E18" s="17" t="str">
        <x:v>Email hợp lệ 75 ký tự</x:v>
      </x:c>
      <x:c r="F18" s="17" t="str">
        <x:v>Hợp lệ</x:v>
      </x:c>
      <x:c r="G18" s="17" t="str">
        <x:v>Normal BVA</x:v>
      </x:c>
      <x:c r="H18" s="21" t="str">
        <x:v>PASS</x:v>
      </x:c>
    </x:row>
    <x:row r="19" ht="27" customHeight="1">
      <x:c r="A19" s="18" t="str">
        <x:v>BVA-013</x:v>
      </x:c>
      <x:c r="B19" s="18" t="str">
        <x:v>RegisterFormDTOBvaTest.java</x:v>
      </x:c>
      <x:c r="C19" s="18" t="str">
        <x:v>email @Email + @Size(max=150)</x:v>
      </x:c>
      <x:c r="D19" s="18" t="str">
        <x:v>max-1</x:v>
      </x:c>
      <x:c r="E19" s="18" t="str">
        <x:v>Email hợp lệ 149 ký tự</x:v>
      </x:c>
      <x:c r="F19" s="18" t="str">
        <x:v>Hợp lệ</x:v>
      </x:c>
      <x:c r="G19" s="18" t="str">
        <x:v>Normal BVA</x:v>
      </x:c>
      <x:c r="H19" s="21" t="str">
        <x:v>PASS</x:v>
      </x:c>
    </x:row>
    <x:row r="20" ht="27" customHeight="1">
      <x:c r="A20" s="17" t="str">
        <x:v>BVA-014</x:v>
      </x:c>
      <x:c r="B20" s="17" t="str">
        <x:v>RegisterFormDTOBvaTest.java</x:v>
      </x:c>
      <x:c r="C20" s="17" t="str">
        <x:v>email @Email + @Size(max=150)</x:v>
      </x:c>
      <x:c r="D20" s="17" t="str">
        <x:v>max</x:v>
      </x:c>
      <x:c r="E20" s="17" t="str">
        <x:v>Email hợp lệ 150 ký tự</x:v>
      </x:c>
      <x:c r="F20" s="17" t="str">
        <x:v>Hợp lệ</x:v>
      </x:c>
      <x:c r="G20" s="17" t="str">
        <x:v>Normal BVA</x:v>
      </x:c>
      <x:c r="H20" s="21" t="str">
        <x:v>PASS</x:v>
      </x:c>
    </x:row>
    <x:row r="21" ht="27" customHeight="1">
      <x:c r="A21" s="18" t="str">
        <x:v>BVA-015</x:v>
      </x:c>
      <x:c r="B21" s="18" t="str">
        <x:v>RegisterFormDTOBvaTest.java</x:v>
      </x:c>
      <x:c r="C21" s="18" t="str">
        <x:v>email @Email + @Size(max=150)</x:v>
      </x:c>
      <x:c r="D21" s="18" t="str">
        <x:v>negative</x:v>
      </x:c>
      <x:c r="E21" s="18" t="str">
        <x:v>null</x:v>
      </x:c>
      <x:c r="F21" s="18" t="str">
        <x:v>Vi phạm @NotBlank</x:v>
      </x:c>
      <x:c r="G21" s="18" t="str">
        <x:v>Negative</x:v>
      </x:c>
      <x:c r="H21" s="21" t="str">
        <x:v>PASS</x:v>
      </x:c>
    </x:row>
    <x:row r="22" ht="27" customHeight="1">
      <x:c r="A22" s="17" t="str">
        <x:v>BVA-016</x:v>
      </x:c>
      <x:c r="B22" s="17" t="str">
        <x:v>RegisterFormDTOBvaTest.java</x:v>
      </x:c>
      <x:c r="C22" s="17" t="str">
        <x:v>email @Email + @Size(max=150)</x:v>
      </x:c>
      <x:c r="D22" s="17" t="str">
        <x:v>negative</x:v>
      </x:c>
      <x:c r="E22" s="17" t="str">
        <x:v>Chuỗi rỗng</x:v>
      </x:c>
      <x:c r="F22" s="17" t="str">
        <x:v>Vi phạm @NotBlank</x:v>
      </x:c>
      <x:c r="G22" s="17" t="str">
        <x:v>Negative</x:v>
      </x:c>
      <x:c r="H22" s="21" t="str">
        <x:v>PASS</x:v>
      </x:c>
    </x:row>
    <x:row r="23" ht="27" customHeight="1">
      <x:c r="A23" s="18" t="str">
        <x:v>BVA-017</x:v>
      </x:c>
      <x:c r="B23" s="18" t="str">
        <x:v>RegisterFormDTOBvaTest.java</x:v>
      </x:c>
      <x:c r="C23" s="18" t="str">
        <x:v>email @Email + @Size(max=150)</x:v>
      </x:c>
      <x:c r="D23" s="18" t="str">
        <x:v>negative</x:v>
      </x:c>
      <x:c r="E23" s="18" t="str">
        <x:v>Sai format email</x:v>
      </x:c>
      <x:c r="F23" s="18" t="str">
        <x:v>Vi phạm @Email</x:v>
      </x:c>
      <x:c r="G23" s="18" t="str">
        <x:v>Negative</x:v>
      </x:c>
      <x:c r="H23" s="21" t="str">
        <x:v>PASS</x:v>
      </x:c>
    </x:row>
    <x:row r="24" ht="27" customHeight="1">
      <x:c r="A24" s="17" t="str">
        <x:v>BVA-018</x:v>
      </x:c>
      <x:c r="B24" s="17" t="str">
        <x:v>RegisterFormDTOBvaTest.java</x:v>
      </x:c>
      <x:c r="C24" s="17" t="str">
        <x:v>email @Email + @Size(max=150)</x:v>
      </x:c>
      <x:c r="D24" s="17" t="str">
        <x:v>max+1</x:v>
      </x:c>
      <x:c r="E24" s="17" t="str">
        <x:v>Email hợp lệ 151 ký tự</x:v>
      </x:c>
      <x:c r="F24" s="17" t="str">
        <x:v>Vi phạm @Size(max=150)</x:v>
      </x:c>
      <x:c r="G24" s="17" t="str">
        <x:v>Robust BVA</x:v>
      </x:c>
      <x:c r="H24" s="21" t="str">
        <x:v>PASS</x:v>
      </x:c>
    </x:row>
    <x:row r="25" ht="27" customHeight="1">
      <x:c r="A25" s="18" t="str">
        <x:v>BVA-019</x:v>
      </x:c>
      <x:c r="B25" s="18" t="str">
        <x:v>RegisterFormDTOBvaTest.java</x:v>
      </x:c>
      <x:c r="C25" s="18" t="str">
        <x:v>password @NotBlank + @Size(6..30)</x:v>
      </x:c>
      <x:c r="D25" s="18" t="str">
        <x:v>min</x:v>
      </x:c>
      <x:c r="E25" s="18" t="str">
        <x:v>6 ký tự</x:v>
      </x:c>
      <x:c r="F25" s="18" t="str">
        <x:v>Hợp lệ</x:v>
      </x:c>
      <x:c r="G25" s="18" t="str">
        <x:v>Normal BVA</x:v>
      </x:c>
      <x:c r="H25" s="21" t="str">
        <x:v>PASS</x:v>
      </x:c>
    </x:row>
    <x:row r="26" ht="27" customHeight="1">
      <x:c r="A26" s="17" t="str">
        <x:v>BVA-020</x:v>
      </x:c>
      <x:c r="B26" s="17" t="str">
        <x:v>RegisterFormDTOBvaTest.java</x:v>
      </x:c>
      <x:c r="C26" s="17" t="str">
        <x:v>password @NotBlank + @Size(6..30)</x:v>
      </x:c>
      <x:c r="D26" s="17" t="str">
        <x:v>min+1</x:v>
      </x:c>
      <x:c r="E26" s="17" t="str">
        <x:v>7 ký tự</x:v>
      </x:c>
      <x:c r="F26" s="17" t="str">
        <x:v>Hợp lệ</x:v>
      </x:c>
      <x:c r="G26" s="17" t="str">
        <x:v>Normal BVA</x:v>
      </x:c>
      <x:c r="H26" s="21" t="str">
        <x:v>PASS</x:v>
      </x:c>
    </x:row>
    <x:row r="27" ht="27" customHeight="1">
      <x:c r="A27" s="18" t="str">
        <x:v>BVA-021</x:v>
      </x:c>
      <x:c r="B27" s="18" t="str">
        <x:v>RegisterFormDTOBvaTest.java</x:v>
      </x:c>
      <x:c r="C27" s="18" t="str">
        <x:v>password @NotBlank + @Size(6..30)</x:v>
      </x:c>
      <x:c r="D27" s="18" t="str">
        <x:v>medium</x:v>
      </x:c>
      <x:c r="E27" s="18" t="str">
        <x:v>18 ký tự</x:v>
      </x:c>
      <x:c r="F27" s="18" t="str">
        <x:v>Hợp lệ</x:v>
      </x:c>
      <x:c r="G27" s="18" t="str">
        <x:v>Normal BVA</x:v>
      </x:c>
      <x:c r="H27" s="21" t="str">
        <x:v>PASS</x:v>
      </x:c>
    </x:row>
    <x:row r="28" ht="27" customHeight="1">
      <x:c r="A28" s="17" t="str">
        <x:v>BVA-022</x:v>
      </x:c>
      <x:c r="B28" s="17" t="str">
        <x:v>RegisterFormDTOBvaTest.java</x:v>
      </x:c>
      <x:c r="C28" s="17" t="str">
        <x:v>password @NotBlank + @Size(6..30)</x:v>
      </x:c>
      <x:c r="D28" s="17" t="str">
        <x:v>max-1</x:v>
      </x:c>
      <x:c r="E28" s="17" t="str">
        <x:v>29 ký tự</x:v>
      </x:c>
      <x:c r="F28" s="17" t="str">
        <x:v>Hợp lệ</x:v>
      </x:c>
      <x:c r="G28" s="17" t="str">
        <x:v>Normal BVA</x:v>
      </x:c>
      <x:c r="H28" s="21" t="str">
        <x:v>PASS</x:v>
      </x:c>
    </x:row>
    <x:row r="29" ht="27" customHeight="1">
      <x:c r="A29" s="18" t="str">
        <x:v>BVA-023</x:v>
      </x:c>
      <x:c r="B29" s="18" t="str">
        <x:v>RegisterFormDTOBvaTest.java</x:v>
      </x:c>
      <x:c r="C29" s="18" t="str">
        <x:v>password @NotBlank + @Size(6..30)</x:v>
      </x:c>
      <x:c r="D29" s="18" t="str">
        <x:v>max</x:v>
      </x:c>
      <x:c r="E29" s="18" t="str">
        <x:v>30 ký tự</x:v>
      </x:c>
      <x:c r="F29" s="18" t="str">
        <x:v>Hợp lệ</x:v>
      </x:c>
      <x:c r="G29" s="18" t="str">
        <x:v>Normal BVA</x:v>
      </x:c>
      <x:c r="H29" s="21" t="str">
        <x:v>PASS</x:v>
      </x:c>
    </x:row>
    <x:row r="30" ht="27" customHeight="1">
      <x:c r="A30" s="17" t="str">
        <x:v>BVA-024</x:v>
      </x:c>
      <x:c r="B30" s="17" t="str">
        <x:v>RegisterFormDTOBvaTest.java</x:v>
      </x:c>
      <x:c r="C30" s="17" t="str">
        <x:v>password @NotBlank + @Size(6..30)</x:v>
      </x:c>
      <x:c r="D30" s="17" t="str">
        <x:v>min-1</x:v>
      </x:c>
      <x:c r="E30" s="17" t="str">
        <x:v>5 ký tự</x:v>
      </x:c>
      <x:c r="F30" s="17" t="str">
        <x:v>Vi phạm @Size(min=6)</x:v>
      </x:c>
      <x:c r="G30" s="17" t="str">
        <x:v>Robust BVA</x:v>
      </x:c>
      <x:c r="H30" s="21" t="str">
        <x:v>PASS</x:v>
      </x:c>
    </x:row>
    <x:row r="31" ht="27" customHeight="1">
      <x:c r="A31" s="18" t="str">
        <x:v>BVA-025</x:v>
      </x:c>
      <x:c r="B31" s="18" t="str">
        <x:v>RegisterFormDTOBvaTest.java</x:v>
      </x:c>
      <x:c r="C31" s="18" t="str">
        <x:v>password @NotBlank + @Size(6..30)</x:v>
      </x:c>
      <x:c r="D31" s="18" t="str">
        <x:v>max+1</x:v>
      </x:c>
      <x:c r="E31" s="18" t="str">
        <x:v>31 ký tự</x:v>
      </x:c>
      <x:c r="F31" s="18" t="str">
        <x:v>Vi phạm @Size(max=30)</x:v>
      </x:c>
      <x:c r="G31" s="18" t="str">
        <x:v>Robust BVA</x:v>
      </x:c>
      <x:c r="H31" s="21" t="str">
        <x:v>PASS</x:v>
      </x:c>
    </x:row>
    <x:row r="32" ht="27" customHeight="1">
      <x:c r="A32" s="17" t="str">
        <x:v>BVA-026</x:v>
      </x:c>
      <x:c r="B32" s="17" t="str">
        <x:v>RegisterFormDTOBvaTest.java</x:v>
      </x:c>
      <x:c r="C32" s="17" t="str">
        <x:v>password @NotBlank + @Size(6..30)</x:v>
      </x:c>
      <x:c r="D32" s="17" t="str">
        <x:v>negative</x:v>
      </x:c>
      <x:c r="E32" s="17" t="str">
        <x:v>null</x:v>
      </x:c>
      <x:c r="F32" s="17" t="str">
        <x:v>Vi phạm @NotBlank</x:v>
      </x:c>
      <x:c r="G32" s="17" t="str">
        <x:v>Negative</x:v>
      </x:c>
      <x:c r="H32" s="21" t="str">
        <x:v>PASS</x:v>
      </x:c>
    </x:row>
    <x:row r="33" ht="27" customHeight="1">
      <x:c r="A33" s="18" t="str">
        <x:v>BVA-027</x:v>
      </x:c>
      <x:c r="B33" s="18" t="str">
        <x:v>RegisterFormDTOBvaTest.java</x:v>
      </x:c>
      <x:c r="C33" s="18" t="str">
        <x:v>password @NotBlank + @Size(6..30)</x:v>
      </x:c>
      <x:c r="D33" s="18" t="str">
        <x:v>negative</x:v>
      </x:c>
      <x:c r="E33" s="18" t="str">
        <x:v>Chuỗi rỗng</x:v>
      </x:c>
      <x:c r="F33" s="18" t="str">
        <x:v>Vi phạm @NotBlank</x:v>
      </x:c>
      <x:c r="G33" s="18" t="str">
        <x:v>Negative</x:v>
      </x:c>
      <x:c r="H33" s="21" t="str">
        <x:v>PASS</x:v>
      </x:c>
    </x:row>
    <x:row r="34" ht="27" customHeight="1">
      <x:c r="A34" s="17" t="str">
        <x:v>BVA-028</x:v>
      </x:c>
      <x:c r="B34" s="17" t="str">
        <x:v>OnboardingFileSizeBvaTest.java</x:v>
      </x:c>
      <x:c r="C34" s="17" t="str">
        <x:v>file size (max 10 MB)</x:v>
      </x:c>
      <x:c r="D34" s="17" t="str">
        <x:v>min</x:v>
      </x:c>
      <x:c r="E34" s="17" t="str">
        <x:v>0 byte</x:v>
      </x:c>
      <x:c r="F34" s="17" t="str">
        <x:v>Chấp nhận</x:v>
      </x:c>
      <x:c r="G34" s="17" t="str">
        <x:v>Normal BVA</x:v>
      </x:c>
      <x:c r="H34" s="21" t="str">
        <x:v>PASS</x:v>
      </x:c>
    </x:row>
    <x:row r="35" ht="27" customHeight="1">
      <x:c r="A35" s="18" t="str">
        <x:v>BVA-029</x:v>
      </x:c>
      <x:c r="B35" s="18" t="str">
        <x:v>OnboardingFileSizeBvaTest.java</x:v>
      </x:c>
      <x:c r="C35" s="18" t="str">
        <x:v>file size (max 10 MB)</x:v>
      </x:c>
      <x:c r="D35" s="18" t="str">
        <x:v>min+1</x:v>
      </x:c>
      <x:c r="E35" s="18" t="str">
        <x:v>1 byte</x:v>
      </x:c>
      <x:c r="F35" s="18" t="str">
        <x:v>Chấp nhận</x:v>
      </x:c>
      <x:c r="G35" s="18" t="str">
        <x:v>Normal BVA</x:v>
      </x:c>
      <x:c r="H35" s="21" t="str">
        <x:v>PASS</x:v>
      </x:c>
    </x:row>
    <x:row r="36" ht="27" customHeight="1">
      <x:c r="A36" s="17" t="str">
        <x:v>BVA-030</x:v>
      </x:c>
      <x:c r="B36" s="17" t="str">
        <x:v>OnboardingFileSizeBvaTest.java</x:v>
      </x:c>
      <x:c r="C36" s="17" t="str">
        <x:v>file size (max 10 MB)</x:v>
      </x:c>
      <x:c r="D36" s="17" t="str">
        <x:v>medium</x:v>
      </x:c>
      <x:c r="E36" s="17" t="str">
        <x:v>5 MB</x:v>
      </x:c>
      <x:c r="F36" s="17" t="str">
        <x:v>Chấp nhận</x:v>
      </x:c>
      <x:c r="G36" s="17" t="str">
        <x:v>Normal BVA</x:v>
      </x:c>
      <x:c r="H36" s="21" t="str">
        <x:v>PASS</x:v>
      </x:c>
    </x:row>
    <x:row r="37" ht="27" customHeight="1">
      <x:c r="A37" s="18" t="str">
        <x:v>BVA-031</x:v>
      </x:c>
      <x:c r="B37" s="18" t="str">
        <x:v>OnboardingFileSizeBvaTest.java</x:v>
      </x:c>
      <x:c r="C37" s="18" t="str">
        <x:v>file size (max 10 MB)</x:v>
      </x:c>
      <x:c r="D37" s="18" t="str">
        <x:v>max-1</x:v>
      </x:c>
      <x:c r="E37" s="18" t="str">
        <x:v>10 MB - 1 byte</x:v>
      </x:c>
      <x:c r="F37" s="18" t="str">
        <x:v>Chấp nhận</x:v>
      </x:c>
      <x:c r="G37" s="18" t="str">
        <x:v>Normal BVA</x:v>
      </x:c>
      <x:c r="H37" s="21" t="str">
        <x:v>PASS</x:v>
      </x:c>
    </x:row>
    <x:row r="38" ht="27" customHeight="1">
      <x:c r="A38" s="17" t="str">
        <x:v>BVA-032</x:v>
      </x:c>
      <x:c r="B38" s="17" t="str">
        <x:v>OnboardingFileSizeBvaTest.java</x:v>
      </x:c>
      <x:c r="C38" s="17" t="str">
        <x:v>file size (max 10 MB)</x:v>
      </x:c>
      <x:c r="D38" s="17" t="str">
        <x:v>max</x:v>
      </x:c>
      <x:c r="E38" s="17" t="str">
        <x:v>10 MB</x:v>
      </x:c>
      <x:c r="F38" s="17" t="str">
        <x:v>Chấp nhận</x:v>
      </x:c>
      <x:c r="G38" s="17" t="str">
        <x:v>Normal BVA</x:v>
      </x:c>
      <x:c r="H38" s="21" t="str">
        <x:v>PASS</x:v>
      </x:c>
    </x:row>
    <x:row r="39" ht="27" customHeight="1">
      <x:c r="A39" s="18" t="str">
        <x:v>BVA-033</x:v>
      </x:c>
      <x:c r="B39" s="18" t="str">
        <x:v>OnboardingFileSizeBvaTest.java</x:v>
      </x:c>
      <x:c r="C39" s="18" t="str">
        <x:v>file size (max 10 MB)</x:v>
      </x:c>
      <x:c r="D39" s="18" t="str">
        <x:v>max+1</x:v>
      </x:c>
      <x:c r="E39" s="18" t="str">
        <x:v>10 MB + 1 byte</x:v>
      </x:c>
      <x:c r="F39" s="18" t="str">
        <x:v>Từ chối vì vượt 10 MB</x:v>
      </x:c>
      <x:c r="G39" s="18" t="str">
        <x:v>Robust BVA</x:v>
      </x:c>
      <x:c r="H39" s="21" t="str">
        <x:v>PASS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c475b90d0c44d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2" t="str">
        <x:v>Equivalence Partitioning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Chia miền dữ liệu thành các lớp tương đương hợp lệ/không hợp lệ; mỗi lớp cần ít nhất một đại diện.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COUNTA($A$7:$A$27)</x:f>
        <x:v>21</x:v>
      </x:c>
      <x:c r="C4" s="9" t="str">
        <x:v>PASS</x:v>
      </x:c>
      <x:c r="D4" s="9" t="n">
        <x:f>COUNTIF($G$7:$G$27,"PASS")</x:f>
        <x:v>21</x:v>
      </x:c>
      <x:c r="E4" s="9" t="str">
        <x:v>Chưa chạy</x:v>
      </x:c>
      <x:c r="F4" s="9" t="n">
        <x:f>COUNTIF($G$7:$G$27,"Chưa chạy")</x:f>
        <x:v>0</x:v>
      </x:c>
      <x:c r="G4" s="9" t="str">
        <x:v>Known bug</x:v>
      </x:c>
      <x:c r="H4" s="9" t="n">
        <x:f>COUNTIF($G$7:$G$27,"KNOWN BUG")</x:f>
        <x:v>0</x:v>
      </x:c>
    </x:row>
    <x:row r="6" ht="28" customHeight="1">
      <x:c r="A6" s="14" t="str">
        <x:v>Case ID</x:v>
      </x:c>
      <x:c r="B6" s="14" t="str">
        <x:v>Source test</x:v>
      </x:c>
      <x:c r="C6" s="14" t="str">
        <x:v>Test category</x:v>
      </x:c>
      <x:c r="D6" s="14" t="str">
        <x:v>Input / condition</x:v>
      </x:c>
      <x:c r="E6" s="14" t="str">
        <x:v>Expected result</x:v>
      </x:c>
      <x:c r="F6" s="14" t="str">
        <x:v>Actual / evidence</x:v>
      </x:c>
      <x:c r="G6" s="14" t="str">
        <x:v>Status</x:v>
      </x:c>
      <x:c r="H6" s="14" t="str">
        <x:v>Note</x:v>
      </x:c>
    </x:row>
    <x:row r="7" ht="27" customHeight="1">
      <x:c r="A7" s="18" t="str">
        <x:v>EP-001</x:v>
      </x:c>
      <x:c r="B7" s="18" t="str">
        <x:v>RegisterFormDTOBvaTest</x:v>
      </x:c>
      <x:c r="C7" s="18" t="str">
        <x:v>fullName - lớp hợp lệ</x:v>
      </x:c>
      <x:c r="D7" s="18" t="str">
        <x:v>1–100 ký tự, không trắng</x:v>
      </x:c>
      <x:c r="E7" s="18" t="str">
        <x:v>Không có violation</x:v>
      </x:c>
      <x:c r="F7" s="18" t="str">
        <x:v>Đã phủ bởi BVA-001..005</x:v>
      </x:c>
      <x:c r="G7" s="21" t="str">
        <x:v>PASS</x:v>
      </x:c>
      <x:c r="H7" s="17" t="str"/>
    </x:row>
    <x:row r="8" ht="27" customHeight="1">
      <x:c r="A8" s="17" t="str">
        <x:v>EP-002</x:v>
      </x:c>
      <x:c r="B8" s="17" t="str">
        <x:v>RegisterFormDTOBvaTest</x:v>
      </x:c>
      <x:c r="C8" s="17" t="str">
        <x:v>fullName - lớp rỗng/blank</x:v>
      </x:c>
      <x:c r="D8" s="17" t="str">
        <x:v>null, empty, spaces</x:v>
      </x:c>
      <x:c r="E8" s="17" t="str">
        <x:v>Vi phạm @NotBlank</x:v>
      </x:c>
      <x:c r="F8" s="17" t="str">
        <x:v>Đã phủ bởi BVA-006..008</x:v>
      </x:c>
      <x:c r="G8" s="21" t="str">
        <x:v>PASS</x:v>
      </x:c>
      <x:c r="H8" s="17" t="str"/>
    </x:row>
    <x:row r="9" ht="27" customHeight="1">
      <x:c r="A9" s="18" t="str">
        <x:v>EP-003</x:v>
      </x:c>
      <x:c r="B9" s="18" t="str">
        <x:v>RegisterFormDTOBvaTest</x:v>
      </x:c>
      <x:c r="C9" s="18" t="str">
        <x:v>fullName - lớp vượt max</x:v>
      </x:c>
      <x:c r="D9" s="18" t="str">
        <x:v>101 ký tự</x:v>
      </x:c>
      <x:c r="E9" s="18" t="str">
        <x:v>Vi phạm @Size(max=100)</x:v>
      </x:c>
      <x:c r="F9" s="18" t="str">
        <x:v>Đã phủ bởi BVA-009</x:v>
      </x:c>
      <x:c r="G9" s="21" t="str">
        <x:v>PASS</x:v>
      </x:c>
      <x:c r="H9" s="17" t="str"/>
    </x:row>
    <x:row r="10" ht="27" customHeight="1">
      <x:c r="A10" s="17" t="str">
        <x:v>EP-004</x:v>
      </x:c>
      <x:c r="B10" s="17" t="str">
        <x:v>RegisterFormDTOBvaTest</x:v>
      </x:c>
      <x:c r="C10" s="17" t="str">
        <x:v>email - lớp hợp lệ</x:v>
      </x:c>
      <x:c r="D10" s="17" t="str">
        <x:v>Email đúng format, &lt;=150 ký tự</x:v>
      </x:c>
      <x:c r="E10" s="17" t="str">
        <x:v>Không có violation</x:v>
      </x:c>
      <x:c r="F10" s="17" t="str">
        <x:v>Đã phủ bởi BVA-010..014</x:v>
      </x:c>
      <x:c r="G10" s="21" t="str">
        <x:v>PASS</x:v>
      </x:c>
      <x:c r="H10" s="17" t="str"/>
    </x:row>
    <x:row r="11" ht="27" customHeight="1">
      <x:c r="A11" s="18" t="str">
        <x:v>EP-005</x:v>
      </x:c>
      <x:c r="B11" s="18" t="str">
        <x:v>RegisterFormDTOBvaTest</x:v>
      </x:c>
      <x:c r="C11" s="18" t="str">
        <x:v>email - lớp sai format</x:v>
      </x:c>
      <x:c r="D11" s="18" t="str">
        <x:v>Chuỗi không phải email</x:v>
      </x:c>
      <x:c r="E11" s="18" t="str">
        <x:v>Vi phạm @Email</x:v>
      </x:c>
      <x:c r="F11" s="18" t="str">
        <x:v>Đã phủ bởi BVA-017</x:v>
      </x:c>
      <x:c r="G11" s="21" t="str">
        <x:v>PASS</x:v>
      </x:c>
      <x:c r="H11" s="17" t="str"/>
    </x:row>
    <x:row r="12" ht="27" customHeight="1">
      <x:c r="A12" s="17" t="str">
        <x:v>EP-006</x:v>
      </x:c>
      <x:c r="B12" s="17" t="str">
        <x:v>RegisterFormDTOBvaTest</x:v>
      </x:c>
      <x:c r="C12" s="17" t="str">
        <x:v>email - lớp vượt max</x:v>
      </x:c>
      <x:c r="D12" s="17" t="str">
        <x:v>Email hợp lệ 151 ký tự</x:v>
      </x:c>
      <x:c r="E12" s="17" t="str">
        <x:v>Vi phạm @Size(max=150)</x:v>
      </x:c>
      <x:c r="F12" s="17" t="str">
        <x:v>Đã phủ bởi BVA-018</x:v>
      </x:c>
      <x:c r="G12" s="21" t="str">
        <x:v>PASS</x:v>
      </x:c>
      <x:c r="H12" s="17" t="str"/>
    </x:row>
    <x:row r="13" ht="27" customHeight="1">
      <x:c r="A13" s="18" t="str">
        <x:v>EP-007</x:v>
      </x:c>
      <x:c r="B13" s="18" t="str">
        <x:v>RegisterFormDTOBvaTest</x:v>
      </x:c>
      <x:c r="C13" s="18" t="str">
        <x:v>password - lớp hợp lệ</x:v>
      </x:c>
      <x:c r="D13" s="18" t="str">
        <x:v>6–30 ký tự</x:v>
      </x:c>
      <x:c r="E13" s="18" t="str">
        <x:v>Không có violation</x:v>
      </x:c>
      <x:c r="F13" s="18" t="str">
        <x:v>Đã phủ bởi BVA-019..023</x:v>
      </x:c>
      <x:c r="G13" s="21" t="str">
        <x:v>PASS</x:v>
      </x:c>
      <x:c r="H13" s="17" t="str"/>
    </x:row>
    <x:row r="14" ht="27" customHeight="1">
      <x:c r="A14" s="17" t="str">
        <x:v>EP-008</x:v>
      </x:c>
      <x:c r="B14" s="17" t="str">
        <x:v>RegisterFormDTOBvaTest</x:v>
      </x:c>
      <x:c r="C14" s="17" t="str">
        <x:v>password - lớp ngắn</x:v>
      </x:c>
      <x:c r="D14" s="17" t="str">
        <x:v>5 ký tự hoặc ít hơn</x:v>
      </x:c>
      <x:c r="E14" s="17" t="str">
        <x:v>Vi phạm @Size(min=6)</x:v>
      </x:c>
      <x:c r="F14" s="17" t="str">
        <x:v>Đã phủ bởi BVA-024</x:v>
      </x:c>
      <x:c r="G14" s="21" t="str">
        <x:v>PASS</x:v>
      </x:c>
      <x:c r="H14" s="17" t="str"/>
    </x:row>
    <x:row r="15" ht="27" customHeight="1">
      <x:c r="A15" s="18" t="str">
        <x:v>EP-009</x:v>
      </x:c>
      <x:c r="B15" s="18" t="str">
        <x:v>RegisterFormDTOBvaTest</x:v>
      </x:c>
      <x:c r="C15" s="18" t="str">
        <x:v>password - lớp dài</x:v>
      </x:c>
      <x:c r="D15" s="18" t="str">
        <x:v>31 ký tự hoặc nhiều hơn</x:v>
      </x:c>
      <x:c r="E15" s="18" t="str">
        <x:v>Vi phạm @Size(max=30)</x:v>
      </x:c>
      <x:c r="F15" s="18" t="str">
        <x:v>Đã phủ bởi BVA-025</x:v>
      </x:c>
      <x:c r="G15" s="21" t="str">
        <x:v>PASS</x:v>
      </x:c>
      <x:c r="H15" s="17" t="str"/>
    </x:row>
    <x:row r="16" ht="27" customHeight="1">
      <x:c r="A16" s="17" t="str">
        <x:v>EP-010</x:v>
      </x:c>
      <x:c r="B16" s="17" t="str">
        <x:v>OnboardingServiceTest</x:v>
      </x:c>
      <x:c r="C16" s="17" t="str">
        <x:v>file extension - lớp cho phép</x:v>
      </x:c>
      <x:c r="D16" s="17" t="str">
        <x:v>.pdf, .png, .jpg, .jpeg</x:v>
      </x:c>
      <x:c r="E16" s="17" t="str">
        <x:v>Chấp nhận file</x:v>
      </x:c>
      <x:c r="F16" s="17" t="str">
        <x:v>Unit test hiện có</x:v>
      </x:c>
      <x:c r="G16" s="21" t="str">
        <x:v>PASS</x:v>
      </x:c>
      <x:c r="H16" s="17" t="str"/>
    </x:row>
    <x:row r="17" ht="27" customHeight="1">
      <x:c r="A17" s="18" t="str">
        <x:v>EP-011</x:v>
      </x:c>
      <x:c r="B17" s="18" t="str">
        <x:v>OnboardingServiceTest</x:v>
      </x:c>
      <x:c r="C17" s="18" t="str">
        <x:v>file extension - lớp không cho phép</x:v>
      </x:c>
      <x:c r="D17" s="18" t="str">
        <x:v>.txt, .docx, .exe</x:v>
      </x:c>
      <x:c r="E17" s="18" t="str">
        <x:v>Từ chối file</x:v>
      </x:c>
      <x:c r="F17" s="18" t="str">
        <x:v>Unit test hiện có</x:v>
      </x:c>
      <x:c r="G17" s="21" t="str">
        <x:v>PASS</x:v>
      </x:c>
      <x:c r="H17" s="17" t="str"/>
    </x:row>
    <x:row r="18" ht="27" customHeight="1">
      <x:c r="A18" s="17" t="str">
        <x:v>EP-012</x:v>
      </x:c>
      <x:c r="B18" s="17" t="str">
        <x:v>OnboardingFileSizeBvaTest</x:v>
      </x:c>
      <x:c r="C18" s="17" t="str">
        <x:v>file size - lớp hợp lệ</x:v>
      </x:c>
      <x:c r="D18" s="17" t="str">
        <x:v>0 đến 10 MB</x:v>
      </x:c>
      <x:c r="E18" s="17" t="str">
        <x:v>Chấp nhận file</x:v>
      </x:c>
      <x:c r="F18" s="17" t="str">
        <x:v>Đã phủ bởi BVA-028..032</x:v>
      </x:c>
      <x:c r="G18" s="21" t="str">
        <x:v>PASS</x:v>
      </x:c>
      <x:c r="H18" s="17" t="str"/>
    </x:row>
    <x:row r="19" ht="27" customHeight="1">
      <x:c r="A19" s="18" t="str">
        <x:v>EP-013</x:v>
      </x:c>
      <x:c r="B19" s="18" t="str">
        <x:v>OnboardingFileSizeBvaTest</x:v>
      </x:c>
      <x:c r="C19" s="18" t="str">
        <x:v>file size - lớp vượt max</x:v>
      </x:c>
      <x:c r="D19" s="18" t="str">
        <x:v>Trên 10 MB</x:v>
      </x:c>
      <x:c r="E19" s="18" t="str">
        <x:v>Từ chối file</x:v>
      </x:c>
      <x:c r="F19" s="18" t="str">
        <x:v>Đã phủ bởi BVA-033</x:v>
      </x:c>
      <x:c r="G19" s="21" t="str">
        <x:v>PASS</x:v>
      </x:c>
      <x:c r="H19" s="17" t="str"/>
    </x:row>
    <x:row r="20" ht="27" customHeight="1">
      <x:c r="A20" s="17" t="str">
        <x:v>EP-014</x:v>
      </x:c>
      <x:c r="B20" s="17" t="str">
        <x:v>AuthServiceTest</x:v>
      </x:c>
      <x:c r="C20" s="17" t="str">
        <x:v>email đăng ký - đã tồn tại</x:v>
      </x:c>
      <x:c r="D20" s="17" t="str">
        <x:v>existsByEmail = true</x:v>
      </x:c>
      <x:c r="E20" s="17" t="str">
        <x:v>Ném EmailAlreadyExistsException</x:v>
      </x:c>
      <x:c r="F20" s="17" t="str">
        <x:v>Unit test hiện có</x:v>
      </x:c>
      <x:c r="G20" s="21" t="str">
        <x:v>PASS</x:v>
      </x:c>
      <x:c r="H20" s="17" t="str"/>
    </x:row>
    <x:row r="21" ht="27" customHeight="1">
      <x:c r="A21" s="18" t="str">
        <x:v>EP-015</x:v>
      </x:c>
      <x:c r="B21" s="18" t="str">
        <x:v>AuthServiceTest</x:v>
      </x:c>
      <x:c r="C21" s="18" t="str">
        <x:v>email đăng ký - mới</x:v>
      </x:c>
      <x:c r="D21" s="18" t="str">
        <x:v>existsByEmail = false</x:v>
      </x:c>
      <x:c r="E21" s="18" t="str">
        <x:v>Cho phép đăng ký</x:v>
      </x:c>
      <x:c r="F21" s="18" t="str">
        <x:v>Unit test hiện có</x:v>
      </x:c>
      <x:c r="G21" s="21" t="str">
        <x:v>PASS</x:v>
      </x:c>
      <x:c r="H21" s="17" t="str"/>
    </x:row>
    <x:row r="22" ht="27" customHeight="1">
      <x:c r="A22" s="17" t="str">
        <x:v>EP-016</x:v>
      </x:c>
      <x:c r="B22" s="17" t="str">
        <x:v>SkillGapServiceTest</x:v>
      </x:c>
      <x:c r="C22" s="17" t="str">
        <x:v>skill - tồn tại</x:v>
      </x:c>
      <x:c r="D22" s="17" t="str">
        <x:v>skillRepository trả Optional.of</x:v>
      </x:c>
      <x:c r="E22" s="17" t="str">
        <x:v>Xử lý tiếp</x:v>
      </x:c>
      <x:c r="F22" s="17" t="str">
        <x:v>Unit test hiện có</x:v>
      </x:c>
      <x:c r="G22" s="21" t="str">
        <x:v>PASS</x:v>
      </x:c>
      <x:c r="H22" s="17" t="str"/>
    </x:row>
    <x:row r="23" ht="27" customHeight="1">
      <x:c r="A23" s="18" t="str">
        <x:v>EP-017</x:v>
      </x:c>
      <x:c r="B23" s="18" t="str">
        <x:v>SkillGapServiceTest</x:v>
      </x:c>
      <x:c r="C23" s="18" t="str">
        <x:v>skill - không tồn tại</x:v>
      </x:c>
      <x:c r="D23" s="18" t="str">
        <x:v>skillRepository trả Optional.empty</x:v>
      </x:c>
      <x:c r="E23" s="18" t="str">
        <x:v>NOT_FOUND</x:v>
      </x:c>
      <x:c r="F23" s="18" t="str">
        <x:v>Unit test hiện có</x:v>
      </x:c>
      <x:c r="G23" s="21" t="str">
        <x:v>PASS</x:v>
      </x:c>
      <x:c r="H23" s="17" t="str"/>
    </x:row>
    <x:row r="24" ht="27" customHeight="1">
      <x:c r="A24" s="17" t="str">
        <x:v>EP-018</x:v>
      </x:c>
      <x:c r="B24" s="17" t="str">
        <x:v>AdminUserServiceTest</x:v>
      </x:c>
      <x:c r="C24" s="17" t="str">
        <x:v>role - hợp lệ</x:v>
      </x:c>
      <x:c r="D24" s="17" t="str">
        <x:v>RoleName hợp lệ và có trong DB</x:v>
      </x:c>
      <x:c r="E24" s="17" t="str">
        <x:v>Đổi role thành công</x:v>
      </x:c>
      <x:c r="F24" s="17" t="str">
        <x:v>Unit test hiện có</x:v>
      </x:c>
      <x:c r="G24" s="21" t="str">
        <x:v>PASS</x:v>
      </x:c>
      <x:c r="H24" s="17" t="str"/>
    </x:row>
    <x:row r="25" ht="27" customHeight="1">
      <x:c r="A25" s="18" t="str">
        <x:v>EP-019</x:v>
      </x:c>
      <x:c r="B25" s="18" t="str">
        <x:v>AdminUserServiceTest</x:v>
      </x:c>
      <x:c r="C25" s="18" t="str">
        <x:v>role - không hợp lệ</x:v>
      </x:c>
      <x:c r="D25" s="18" t="str">
        <x:v>Chuỗi không map enum</x:v>
      </x:c>
      <x:c r="E25" s="18" t="str">
        <x:v>IllegalArgumentException</x:v>
      </x:c>
      <x:c r="F25" s="18" t="str">
        <x:v>Unit test hiện có</x:v>
      </x:c>
      <x:c r="G25" s="21" t="str">
        <x:v>PASS</x:v>
      </x:c>
      <x:c r="H25" s="17" t="str"/>
    </x:row>
    <x:row r="26" ht="27" customHeight="1">
      <x:c r="A26" s="17" t="str">
        <x:v>EP-020</x:v>
      </x:c>
      <x:c r="B26" s="17" t="str">
        <x:v>PasswordResetServiceTest</x:v>
      </x:c>
      <x:c r="C26" s="17" t="str">
        <x:v>token - hợp lệ</x:v>
      </x:c>
      <x:c r="D26" s="17" t="str">
        <x:v>Tồn tại, chưa hết hạn, chưa dùng</x:v>
      </x:c>
      <x:c r="E26" s="17" t="str">
        <x:v>Cho phép reset</x:v>
      </x:c>
      <x:c r="F26" s="17" t="str">
        <x:v>Unit test hiện có</x:v>
      </x:c>
      <x:c r="G26" s="21" t="str">
        <x:v>PASS</x:v>
      </x:c>
      <x:c r="H26" s="17" t="str"/>
    </x:row>
    <x:row r="27" ht="27" customHeight="1">
      <x:c r="A27" s="18" t="str">
        <x:v>EP-021</x:v>
      </x:c>
      <x:c r="B27" s="18" t="str">
        <x:v>PasswordResetServiceTest</x:v>
      </x:c>
      <x:c r="C27" s="18" t="str">
        <x:v>token - không hợp lệ</x:v>
      </x:c>
      <x:c r="D27" s="18" t="str">
        <x:v>Không tồn tại/hết hạn/đã dùng</x:v>
      </x:c>
      <x:c r="E27" s="18" t="str">
        <x:v>Từ chối reset</x:v>
      </x:c>
      <x:c r="F27" s="18" t="str">
        <x:v>Unit test hiện có</x:v>
      </x:c>
      <x:c r="G27" s="21" t="str">
        <x:v>PASS</x:v>
      </x:c>
      <x:c r="H27" s="17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bf86132acda4d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2" t="str">
        <x:v>Decision Table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Kiểm tra tổ hợp điều kiện và quyết định đầu ra; đặc biệt phù hợp token, progress gating và quyền admin.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COUNTA($A$7:$A$19)</x:f>
        <x:v>13</x:v>
      </x:c>
      <x:c r="C4" s="9" t="str">
        <x:v>PASS</x:v>
      </x:c>
      <x:c r="D4" s="9" t="n">
        <x:f>COUNTIF($G$7:$G$19,"PASS")</x:f>
        <x:v>13</x:v>
      </x:c>
      <x:c r="E4" s="9" t="str">
        <x:v>Chưa chạy</x:v>
      </x:c>
      <x:c r="F4" s="9" t="n">
        <x:f>COUNTIF($G$7:$G$19,"Chưa chạy")</x:f>
        <x:v>0</x:v>
      </x:c>
      <x:c r="G4" s="9" t="str">
        <x:v>Known bug</x:v>
      </x:c>
      <x:c r="H4" s="9" t="n">
        <x:f>COUNTIF($G$7:$G$19,"KNOWN BUG")</x:f>
        <x:v>0</x:v>
      </x:c>
    </x:row>
    <x:row r="6" ht="28" customHeight="1">
      <x:c r="A6" s="14" t="str">
        <x:v>Case ID</x:v>
      </x:c>
      <x:c r="B6" s="14" t="str">
        <x:v>Source test</x:v>
      </x:c>
      <x:c r="C6" s="14" t="str">
        <x:v>Test category</x:v>
      </x:c>
      <x:c r="D6" s="14" t="str">
        <x:v>Input / condition</x:v>
      </x:c>
      <x:c r="E6" s="14" t="str">
        <x:v>Expected result</x:v>
      </x:c>
      <x:c r="F6" s="14" t="str">
        <x:v>Actual / evidence</x:v>
      </x:c>
      <x:c r="G6" s="14" t="str">
        <x:v>Status</x:v>
      </x:c>
      <x:c r="H6" s="14" t="str">
        <x:v>Note</x:v>
      </x:c>
    </x:row>
    <x:row r="7" ht="27" customHeight="1">
      <x:c r="A7" s="18" t="str">
        <x:v>DT-001</x:v>
      </x:c>
      <x:c r="B7" s="18" t="str">
        <x:v>PasswordResetToken / PasswordResetServiceTest</x:v>
      </x:c>
      <x:c r="C7" s="18" t="str">
        <x:v>expired = No; used = No</x:v>
      </x:c>
      <x:c r="D7" s="18" t="str">
        <x:v>Token còn hạn và chưa dùng</x:v>
      </x:c>
      <x:c r="E7" s="18" t="str">
        <x:v>VALID / cho phép reset</x:v>
      </x:c>
      <x:c r="F7" s="18" t="str">
        <x:v>Unit test hiện có</x:v>
      </x:c>
      <x:c r="G7" s="21" t="str">
        <x:v>PASS</x:v>
      </x:c>
      <x:c r="H7" s="17" t="str"/>
    </x:row>
    <x:row r="8" ht="27" customHeight="1">
      <x:c r="A8" s="17" t="str">
        <x:v>DT-002</x:v>
      </x:c>
      <x:c r="B8" s="17" t="str">
        <x:v>PasswordResetToken / PasswordResetServiceTest</x:v>
      </x:c>
      <x:c r="C8" s="17" t="str">
        <x:v>expired = Yes; used = No</x:v>
      </x:c>
      <x:c r="D8" s="17" t="str">
        <x:v>Token hết hạn, chưa dùng</x:v>
      </x:c>
      <x:c r="E8" s="17" t="str">
        <x:v>INVALID / từ chối reset</x:v>
      </x:c>
      <x:c r="F8" s="17" t="str">
        <x:v>Unit test hiện có</x:v>
      </x:c>
      <x:c r="G8" s="21" t="str">
        <x:v>PASS</x:v>
      </x:c>
      <x:c r="H8" s="17" t="str"/>
    </x:row>
    <x:row r="9" ht="27" customHeight="1">
      <x:c r="A9" s="18" t="str">
        <x:v>DT-003</x:v>
      </x:c>
      <x:c r="B9" s="18" t="str">
        <x:v>PasswordResetToken / PasswordResetServiceTest</x:v>
      </x:c>
      <x:c r="C9" s="18" t="str">
        <x:v>expired = No; used = Yes</x:v>
      </x:c>
      <x:c r="D9" s="18" t="str">
        <x:v>Token còn hạn, đã dùng</x:v>
      </x:c>
      <x:c r="E9" s="18" t="str">
        <x:v>INVALID / từ chối reset</x:v>
      </x:c>
      <x:c r="F9" s="18" t="str">
        <x:v>Unit test hiện có</x:v>
      </x:c>
      <x:c r="G9" s="21" t="str">
        <x:v>PASS</x:v>
      </x:c>
      <x:c r="H9" s="17" t="str"/>
    </x:row>
    <x:row r="10" ht="27" customHeight="1">
      <x:c r="A10" s="17" t="str">
        <x:v>DT-004</x:v>
      </x:c>
      <x:c r="B10" s="17" t="str">
        <x:v>PasswordResetToken / PasswordResetServiceTest</x:v>
      </x:c>
      <x:c r="C10" s="17" t="str">
        <x:v>expired = Yes; used = Yes</x:v>
      </x:c>
      <x:c r="D10" s="17" t="str">
        <x:v>Token hết hạn và đã dùng</x:v>
      </x:c>
      <x:c r="E10" s="17" t="str">
        <x:v>INVALID / từ chối reset</x:v>
      </x:c>
      <x:c r="F10" s="17" t="str">
        <x:v>Unit test hiện có</x:v>
      </x:c>
      <x:c r="G10" s="21" t="str">
        <x:v>PASS</x:v>
      </x:c>
      <x:c r="H10" s="17" t="str"/>
    </x:row>
    <x:row r="11" ht="27" customHeight="1">
      <x:c r="A11" s="18" t="str">
        <x:v>DT-005</x:v>
      </x:c>
      <x:c r="B11" s="18" t="str">
        <x:v>ProgressServiceTest</x:v>
      </x:c>
      <x:c r="C11" s="18" t="str">
        <x:v>status = NOT_STARTED; locked = Yes</x:v>
      </x:c>
      <x:c r="D11" s="18" t="str">
        <x:v>Bỏ đánh dấu node bị khóa</x:v>
      </x:c>
      <x:c r="E11" s="18" t="str">
        <x:v>Cho phép, không check lock</x:v>
      </x:c>
      <x:c r="F11" s="18" t="str">
        <x:v>Unit test hiện có</x:v>
      </x:c>
      <x:c r="G11" s="21" t="str">
        <x:v>PASS</x:v>
      </x:c>
      <x:c r="H11" s="17" t="str"/>
    </x:row>
    <x:row r="12" ht="27" customHeight="1">
      <x:c r="A12" s="17" t="str">
        <x:v>DT-006</x:v>
      </x:c>
      <x:c r="B12" s="17" t="str">
        <x:v>ProgressServiceTest</x:v>
      </x:c>
      <x:c r="C12" s="17" t="str">
        <x:v>status = IN_PROGRESS; locked = No</x:v>
      </x:c>
      <x:c r="D12" s="17" t="str">
        <x:v>Node mở khóa, đang học</x:v>
      </x:c>
      <x:c r="E12" s="17" t="str">
        <x:v>Cho phép lưu tiến độ</x:v>
      </x:c>
      <x:c r="F12" s="17" t="str">
        <x:v>Unit test hiện có</x:v>
      </x:c>
      <x:c r="G12" s="21" t="str">
        <x:v>PASS</x:v>
      </x:c>
      <x:c r="H12" s="17" t="str"/>
    </x:row>
    <x:row r="13" ht="27" customHeight="1">
      <x:c r="A13" s="18" t="str">
        <x:v>DT-007</x:v>
      </x:c>
      <x:c r="B13" s="18" t="str">
        <x:v>ProgressServiceTest</x:v>
      </x:c>
      <x:c r="C13" s="18" t="str">
        <x:v>status = DONE; locked = No</x:v>
      </x:c>
      <x:c r="D13" s="18" t="str">
        <x:v>Node mở khóa, hoàn thành</x:v>
      </x:c>
      <x:c r="E13" s="18" t="str">
        <x:v>Cho phép + ghi activity log</x:v>
      </x:c>
      <x:c r="F13" s="18" t="str">
        <x:v>Unit test hiện có</x:v>
      </x:c>
      <x:c r="G13" s="21" t="str">
        <x:v>PASS</x:v>
      </x:c>
      <x:c r="H13" s="17" t="str"/>
    </x:row>
    <x:row r="14" ht="27" customHeight="1">
      <x:c r="A14" s="17" t="str">
        <x:v>DT-008</x:v>
      </x:c>
      <x:c r="B14" s="17" t="str">
        <x:v>ProgressServiceTest</x:v>
      </x:c>
      <x:c r="C14" s="17" t="str">
        <x:v>status = IN_PROGRESS; locked = Yes</x:v>
      </x:c>
      <x:c r="D14" s="17" t="str">
        <x:v>Node bị khóa, đang học</x:v>
      </x:c>
      <x:c r="E14" s="17" t="str">
        <x:v>FORBIDDEN</x:v>
      </x:c>
      <x:c r="F14" s="17" t="str">
        <x:v>Unit test hiện có</x:v>
      </x:c>
      <x:c r="G14" s="21" t="str">
        <x:v>PASS</x:v>
      </x:c>
      <x:c r="H14" s="17" t="str"/>
    </x:row>
    <x:row r="15" ht="27" customHeight="1">
      <x:c r="A15" s="18" t="str">
        <x:v>DT-009</x:v>
      </x:c>
      <x:c r="B15" s="18" t="str">
        <x:v>ProgressServiceTest</x:v>
      </x:c>
      <x:c r="C15" s="18" t="str">
        <x:v>status = DONE; locked = Yes</x:v>
      </x:c>
      <x:c r="D15" s="18" t="str">
        <x:v>Node bị khóa, hoàn thành</x:v>
      </x:c>
      <x:c r="E15" s="18" t="str">
        <x:v>FORBIDDEN</x:v>
      </x:c>
      <x:c r="F15" s="18" t="str">
        <x:v>Unit test hiện có</x:v>
      </x:c>
      <x:c r="G15" s="21" t="str">
        <x:v>PASS</x:v>
      </x:c>
      <x:c r="H15" s="17" t="str"/>
    </x:row>
    <x:row r="16" ht="27" customHeight="1">
      <x:c r="A16" s="17" t="str">
        <x:v>DT-010</x:v>
      </x:c>
      <x:c r="B16" s="17" t="str">
        <x:v>SkillGapServiceTest</x:v>
      </x:c>
      <x:c r="C16" s="17" t="str">
        <x:v>userSkill = No; roadmapNode = No</x:v>
      </x:c>
      <x:c r="D16" s="17" t="str">
        <x:v>Skill mới với roadmap chưa có node</x:v>
      </x:c>
      <x:c r="E16" s="17" t="str">
        <x:v>Tạo UserSkill + supplemental node</x:v>
      </x:c>
      <x:c r="F16" s="17" t="str">
        <x:v>Unit test hiện có</x:v>
      </x:c>
      <x:c r="G16" s="21" t="str">
        <x:v>PASS</x:v>
      </x:c>
      <x:c r="H16" s="17" t="str"/>
    </x:row>
    <x:row r="17" ht="27" customHeight="1">
      <x:c r="A17" s="18" t="str">
        <x:v>DT-011</x:v>
      </x:c>
      <x:c r="B17" s="18" t="str">
        <x:v>SkillGapServiceTest</x:v>
      </x:c>
      <x:c r="C17" s="18" t="str">
        <x:v>userSkill = Yes; roadmapNode = Yes</x:v>
      </x:c>
      <x:c r="D17" s="18" t="str">
        <x:v>Skill đã có và node đã có</x:v>
      </x:c>
      <x:c r="E17" s="18" t="str">
        <x:v>Không tạo trùng</x:v>
      </x:c>
      <x:c r="F17" s="18" t="str">
        <x:v>Unit test hiện có</x:v>
      </x:c>
      <x:c r="G17" s="21" t="str">
        <x:v>PASS</x:v>
      </x:c>
      <x:c r="H17" s="17" t="str"/>
    </x:row>
    <x:row r="18" ht="27" customHeight="1">
      <x:c r="A18" s="17" t="str">
        <x:v>DT-012</x:v>
      </x:c>
      <x:c r="B18" s="17" t="str">
        <x:v>AdminUserServiceTest</x:v>
      </x:c>
      <x:c r="C18" s="17" t="str">
        <x:v>target = current user; action = toggle/delete</x:v>
      </x:c>
      <x:c r="D18" s="17" t="str">
        <x:v>Admin thao tác trên chính mình</x:v>
      </x:c>
      <x:c r="E18" s="17" t="str">
        <x:v>Từ chối, không ghi/xóa</x:v>
      </x:c>
      <x:c r="F18" s="17" t="str">
        <x:v>Unit test hiện có</x:v>
      </x:c>
      <x:c r="G18" s="21" t="str">
        <x:v>PASS</x:v>
      </x:c>
      <x:c r="H18" s="17" t="str"/>
    </x:row>
    <x:row r="19" ht="27" customHeight="1">
      <x:c r="A19" s="18" t="str">
        <x:v>DT-013</x:v>
      </x:c>
      <x:c r="B19" s="18" t="str">
        <x:v>AdminUserServiceTest</x:v>
      </x:c>
      <x:c r="C19" s="18" t="str">
        <x:v>target != current user; action = toggle/delete</x:v>
      </x:c>
      <x:c r="D19" s="18" t="str">
        <x:v>Admin thao tác trên user khác</x:v>
      </x:c>
      <x:c r="E19" s="18" t="str">
        <x:v>Thực hiện thành công</x:v>
      </x:c>
      <x:c r="F19" s="18" t="str">
        <x:v>Unit test hiện có</x:v>
      </x:c>
      <x:c r="G19" s="21" t="str">
        <x:v>PASS</x:v>
      </x:c>
      <x:c r="H19" s="17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4b404e3205f4b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2" t="str">
        <x:v>State Transition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Kiểm tra chuyển trạng thái và các chuyển đổi bị cấm trong user status, progress status, token và onboarding.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COUNTA($A$7:$A$14)</x:f>
        <x:v>8</x:v>
      </x:c>
      <x:c r="C4" s="9" t="str">
        <x:v>PASS</x:v>
      </x:c>
      <x:c r="D4" s="9" t="n">
        <x:f>COUNTIF($G$7:$G$14,"PASS")</x:f>
        <x:v>7</x:v>
      </x:c>
      <x:c r="E4" s="9" t="str">
        <x:v>Chưa chạy</x:v>
      </x:c>
      <x:c r="F4" s="9" t="n">
        <x:f>COUNTIF($G$7:$G$14,"Chưa chạy")</x:f>
        <x:v>1</x:v>
      </x:c>
      <x:c r="G4" s="9" t="str">
        <x:v>Known bug</x:v>
      </x:c>
      <x:c r="H4" s="9" t="n">
        <x:f>COUNTIF($G$7:$G$14,"KNOWN BUG")</x:f>
        <x:v>0</x:v>
      </x:c>
    </x:row>
    <x:row r="6" ht="28" customHeight="1">
      <x:c r="A6" s="14" t="str">
        <x:v>Case ID</x:v>
      </x:c>
      <x:c r="B6" s="14" t="str">
        <x:v>Source test</x:v>
      </x:c>
      <x:c r="C6" s="14" t="str">
        <x:v>Test category</x:v>
      </x:c>
      <x:c r="D6" s="14" t="str">
        <x:v>Input / condition</x:v>
      </x:c>
      <x:c r="E6" s="14" t="str">
        <x:v>Expected result</x:v>
      </x:c>
      <x:c r="F6" s="14" t="str">
        <x:v>Actual / evidence</x:v>
      </x:c>
      <x:c r="G6" s="14" t="str">
        <x:v>Status</x:v>
      </x:c>
      <x:c r="H6" s="14" t="str">
        <x:v>Note</x:v>
      </x:c>
    </x:row>
    <x:row r="7" ht="27" customHeight="1">
      <x:c r="A7" s="18" t="str">
        <x:v>ST-001</x:v>
      </x:c>
      <x:c r="B7" s="18" t="str">
        <x:v>AdminUserServiceTest</x:v>
      </x:c>
      <x:c r="C7" s="18" t="str">
        <x:v>User enabled</x:v>
      </x:c>
      <x:c r="D7" s="18" t="str">
        <x:v>true → toggle</x:v>
      </x:c>
      <x:c r="E7" s="18" t="str">
        <x:v>false</x:v>
      </x:c>
      <x:c r="F7" s="18" t="str">
        <x:v>Unit test hiện có</x:v>
      </x:c>
      <x:c r="G7" s="21" t="str">
        <x:v>PASS</x:v>
      </x:c>
      <x:c r="H7" s="17" t="str"/>
    </x:row>
    <x:row r="8" ht="27" customHeight="1">
      <x:c r="A8" s="17" t="str">
        <x:v>ST-002</x:v>
      </x:c>
      <x:c r="B8" s="17" t="str">
        <x:v>AdminUserServiceTest</x:v>
      </x:c>
      <x:c r="C8" s="17" t="str">
        <x:v>User enabled</x:v>
      </x:c>
      <x:c r="D8" s="17" t="str">
        <x:v>false → toggle</x:v>
      </x:c>
      <x:c r="E8" s="17" t="str">
        <x:v>true</x:v>
      </x:c>
      <x:c r="F8" s="17" t="str">
        <x:v>Unit test hiện có</x:v>
      </x:c>
      <x:c r="G8" s="21" t="str">
        <x:v>PASS</x:v>
      </x:c>
      <x:c r="H8" s="17" t="str"/>
    </x:row>
    <x:row r="9" ht="27" customHeight="1">
      <x:c r="A9" s="18" t="str">
        <x:v>ST-003</x:v>
      </x:c>
      <x:c r="B9" s="18" t="str">
        <x:v>ProgressServiceTest</x:v>
      </x:c>
      <x:c r="C9" s="18" t="str">
        <x:v>Progress status</x:v>
      </x:c>
      <x:c r="D9" s="18" t="str">
        <x:v>NOT_STARTED → IN_PROGRESS</x:v>
      </x:c>
      <x:c r="E9" s="18" t="str">
        <x:v>Lưu trạng thái mới</x:v>
      </x:c>
      <x:c r="F9" s="18" t="str">
        <x:v>Unit test hiện có</x:v>
      </x:c>
      <x:c r="G9" s="21" t="str">
        <x:v>PASS</x:v>
      </x:c>
      <x:c r="H9" s="17" t="str"/>
    </x:row>
    <x:row r="10" ht="27" customHeight="1">
      <x:c r="A10" s="17" t="str">
        <x:v>ST-004</x:v>
      </x:c>
      <x:c r="B10" s="17" t="str">
        <x:v>ProgressServiceTest</x:v>
      </x:c>
      <x:c r="C10" s="17" t="str">
        <x:v>Progress status</x:v>
      </x:c>
      <x:c r="D10" s="17" t="str">
        <x:v>IN_PROGRESS → DONE</x:v>
      </x:c>
      <x:c r="E10" s="17" t="str">
        <x:v>Set completedAt + ghi log</x:v>
      </x:c>
      <x:c r="F10" s="17" t="str">
        <x:v>Unit test hiện có</x:v>
      </x:c>
      <x:c r="G10" s="21" t="str">
        <x:v>PASS</x:v>
      </x:c>
      <x:c r="H10" s="17" t="str"/>
    </x:row>
    <x:row r="11" ht="27" customHeight="1">
      <x:c r="A11" s="18" t="str">
        <x:v>ST-005</x:v>
      </x:c>
      <x:c r="B11" s="18" t="str">
        <x:v>ProgressServiceTest</x:v>
      </x:c>
      <x:c r="C11" s="18" t="str">
        <x:v>Progress status</x:v>
      </x:c>
      <x:c r="D11" s="18" t="str">
        <x:v>DONE → NOT_STARTED</x:v>
      </x:c>
      <x:c r="E11" s="18" t="str">
        <x:v>Xóa completedAt, bỏ check lock</x:v>
      </x:c>
      <x:c r="F11" s="18" t="str">
        <x:v>Unit test hiện có</x:v>
      </x:c>
      <x:c r="G11" s="21" t="str">
        <x:v>PASS</x:v>
      </x:c>
      <x:c r="H11" s="17" t="str"/>
    </x:row>
    <x:row r="12" ht="27" customHeight="1">
      <x:c r="A12" s="17" t="str">
        <x:v>ST-006</x:v>
      </x:c>
      <x:c r="B12" s="17" t="str">
        <x:v>PasswordResetServiceTest</x:v>
      </x:c>
      <x:c r="C12" s="17" t="str">
        <x:v>Reset token</x:v>
      </x:c>
      <x:c r="D12" s="17" t="str">
        <x:v>ACTIVE → EXPIRED</x:v>
      </x:c>
      <x:c r="E12" s="17" t="str">
        <x:v>Token không còn valid</x:v>
      </x:c>
      <x:c r="F12" s="17" t="str">
        <x:v>Unit test hiện có</x:v>
      </x:c>
      <x:c r="G12" s="21" t="str">
        <x:v>PASS</x:v>
      </x:c>
      <x:c r="H12" s="17" t="str"/>
    </x:row>
    <x:row r="13" ht="27" customHeight="1">
      <x:c r="A13" s="18" t="str">
        <x:v>ST-007</x:v>
      </x:c>
      <x:c r="B13" s="18" t="str">
        <x:v>PasswordResetServiceTest</x:v>
      </x:c>
      <x:c r="C13" s="18" t="str">
        <x:v>Reset token</x:v>
      </x:c>
      <x:c r="D13" s="18" t="str">
        <x:v>ACTIVE → USED</x:v>
      </x:c>
      <x:c r="E13" s="18" t="str">
        <x:v>Token không còn valid</x:v>
      </x:c>
      <x:c r="F13" s="18" t="str">
        <x:v>Unit test hiện có</x:v>
      </x:c>
      <x:c r="G13" s="21" t="str">
        <x:v>PASS</x:v>
      </x:c>
      <x:c r="H13" s="17" t="str"/>
    </x:row>
    <x:row r="14" ht="27" customHeight="1">
      <x:c r="A14" s="17" t="str">
        <x:v>ST-008</x:v>
      </x:c>
      <x:c r="B14" s="17" t="str">
        <x:v>E2E onboarding</x:v>
      </x:c>
      <x:c r="C14" s="17" t="str">
        <x:v>Onboarding state</x:v>
      </x:c>
      <x:c r="D14" s="17" t="str">
        <x:v>Chưa hoàn thành → truy cập roadmap</x:v>
      </x:c>
      <x:c r="E14" s="17" t="str">
        <x:v>Redirect về step1</x:v>
      </x:c>
      <x:c r="F14" s="17" t="str">
        <x:v>E2E catalog, chưa chạy</x:v>
      </x:c>
      <x:c r="G14" s="24" t="str">
        <x:v>Chưa chạy</x:v>
      </x:c>
      <x:c r="H14" s="17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8078a00c3c4e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2" t="str">
        <x:v>Negative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Cố ý đưa input hoặc dependency lỗi để xác nhận hệ thống từ chối an toàn, trả lỗi đúng và không làm crash luồng.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COUNTA($A$7:$A$28)</x:f>
        <x:v>22</x:v>
      </x:c>
      <x:c r="C4" s="9" t="str">
        <x:v>PASS</x:v>
      </x:c>
      <x:c r="D4" s="9" t="n">
        <x:f>COUNTIF($G$7:$G$28,"PASS")</x:f>
        <x:v>21</x:v>
      </x:c>
      <x:c r="E4" s="9" t="str">
        <x:v>Chưa chạy</x:v>
      </x:c>
      <x:c r="F4" s="9" t="n">
        <x:f>COUNTIF($G$7:$G$28,"Chưa chạy")</x:f>
        <x:v>0</x:v>
      </x:c>
      <x:c r="G4" s="9" t="str">
        <x:v>Known bug</x:v>
      </x:c>
      <x:c r="H4" s="9" t="n">
        <x:f>COUNTIF($G$7:$G$28,"KNOWN BUG")</x:f>
        <x:v>1</x:v>
      </x:c>
    </x:row>
    <x:row r="6" ht="28" customHeight="1">
      <x:c r="A6" s="14" t="str">
        <x:v>Case ID</x:v>
      </x:c>
      <x:c r="B6" s="14" t="str">
        <x:v>Source test</x:v>
      </x:c>
      <x:c r="C6" s="14" t="str">
        <x:v>Test category</x:v>
      </x:c>
      <x:c r="D6" s="14" t="str">
        <x:v>Input / condition</x:v>
      </x:c>
      <x:c r="E6" s="14" t="str">
        <x:v>Expected result</x:v>
      </x:c>
      <x:c r="F6" s="14" t="str">
        <x:v>Actual / evidence</x:v>
      </x:c>
      <x:c r="G6" s="14" t="str">
        <x:v>Status</x:v>
      </x:c>
      <x:c r="H6" s="14" t="str">
        <x:v>Note</x:v>
      </x:c>
    </x:row>
    <x:row r="7" ht="27" customHeight="1">
      <x:c r="A7" s="18" t="str">
        <x:v>NEG-001</x:v>
      </x:c>
      <x:c r="B7" s="18" t="str">
        <x:v>RegisterFormDTOBvaTest</x:v>
      </x:c>
      <x:c r="C7" s="18" t="str">
        <x:v>Validation</x:v>
      </x:c>
      <x:c r="D7" s="18" t="str">
        <x:v>fullName = null/empty/blank</x:v>
      </x:c>
      <x:c r="E7" s="18" t="str">
        <x:v>Reject @NotBlank</x:v>
      </x:c>
      <x:c r="F7" s="18" t="str">
        <x:v>BVA-006..008</x:v>
      </x:c>
      <x:c r="G7" s="21" t="str">
        <x:v>PASS</x:v>
      </x:c>
      <x:c r="H7" s="17" t="str"/>
    </x:row>
    <x:row r="8" ht="27" customHeight="1">
      <x:c r="A8" s="17" t="str">
        <x:v>NEG-002</x:v>
      </x:c>
      <x:c r="B8" s="17" t="str">
        <x:v>RegisterFormDTOBvaTest</x:v>
      </x:c>
      <x:c r="C8" s="17" t="str">
        <x:v>Validation</x:v>
      </x:c>
      <x:c r="D8" s="17" t="str">
        <x:v>fullName = 101 chars</x:v>
      </x:c>
      <x:c r="E8" s="17" t="str">
        <x:v>Reject @Size(max=100)</x:v>
      </x:c>
      <x:c r="F8" s="17" t="str">
        <x:v>BVA-009</x:v>
      </x:c>
      <x:c r="G8" s="21" t="str">
        <x:v>PASS</x:v>
      </x:c>
      <x:c r="H8" s="17" t="str"/>
    </x:row>
    <x:row r="9" ht="27" customHeight="1">
      <x:c r="A9" s="18" t="str">
        <x:v>NEG-003</x:v>
      </x:c>
      <x:c r="B9" s="18" t="str">
        <x:v>RegisterFormDTOBvaTest</x:v>
      </x:c>
      <x:c r="C9" s="18" t="str">
        <x:v>Validation</x:v>
      </x:c>
      <x:c r="D9" s="18" t="str">
        <x:v>email sai format</x:v>
      </x:c>
      <x:c r="E9" s="18" t="str">
        <x:v>Reject @Email</x:v>
      </x:c>
      <x:c r="F9" s="18" t="str">
        <x:v>BVA-017</x:v>
      </x:c>
      <x:c r="G9" s="21" t="str">
        <x:v>PASS</x:v>
      </x:c>
      <x:c r="H9" s="17" t="str"/>
    </x:row>
    <x:row r="10" ht="27" customHeight="1">
      <x:c r="A10" s="17" t="str">
        <x:v>NEG-004</x:v>
      </x:c>
      <x:c r="B10" s="17" t="str">
        <x:v>RegisterFormDTOBvaTest</x:v>
      </x:c>
      <x:c r="C10" s="17" t="str">
        <x:v>Validation</x:v>
      </x:c>
      <x:c r="D10" s="17" t="str">
        <x:v>email = 151 chars</x:v>
      </x:c>
      <x:c r="E10" s="17" t="str">
        <x:v>Reject @Size(max=150)</x:v>
      </x:c>
      <x:c r="F10" s="17" t="str">
        <x:v>BVA-018</x:v>
      </x:c>
      <x:c r="G10" s="21" t="str">
        <x:v>PASS</x:v>
      </x:c>
      <x:c r="H10" s="17" t="str"/>
    </x:row>
    <x:row r="11" ht="27" customHeight="1">
      <x:c r="A11" s="18" t="str">
        <x:v>NEG-005</x:v>
      </x:c>
      <x:c r="B11" s="18" t="str">
        <x:v>RegisterFormDTOBvaTest</x:v>
      </x:c>
      <x:c r="C11" s="18" t="str">
        <x:v>Validation</x:v>
      </x:c>
      <x:c r="D11" s="18" t="str">
        <x:v>password = 5 chars</x:v>
      </x:c>
      <x:c r="E11" s="18" t="str">
        <x:v>Reject @Size(min=6)</x:v>
      </x:c>
      <x:c r="F11" s="18" t="str">
        <x:v>BVA-024</x:v>
      </x:c>
      <x:c r="G11" s="21" t="str">
        <x:v>PASS</x:v>
      </x:c>
      <x:c r="H11" s="17" t="str"/>
    </x:row>
    <x:row r="12" ht="27" customHeight="1">
      <x:c r="A12" s="17" t="str">
        <x:v>NEG-006</x:v>
      </x:c>
      <x:c r="B12" s="17" t="str">
        <x:v>RegisterFormDTOBvaTest</x:v>
      </x:c>
      <x:c r="C12" s="17" t="str">
        <x:v>Validation</x:v>
      </x:c>
      <x:c r="D12" s="17" t="str">
        <x:v>password = 31 chars</x:v>
      </x:c>
      <x:c r="E12" s="17" t="str">
        <x:v>Reject @Size(max=30)</x:v>
      </x:c>
      <x:c r="F12" s="17" t="str">
        <x:v>BVA-025</x:v>
      </x:c>
      <x:c r="G12" s="21" t="str">
        <x:v>PASS</x:v>
      </x:c>
      <x:c r="H12" s="17" t="str"/>
    </x:row>
    <x:row r="13" ht="27" customHeight="1">
      <x:c r="A13" s="18" t="str">
        <x:v>NEG-007</x:v>
      </x:c>
      <x:c r="B13" s="18" t="str">
        <x:v>OnboardingServiceTest</x:v>
      </x:c>
      <x:c r="C13" s="18" t="str">
        <x:v>Upload</x:v>
      </x:c>
      <x:c r="D13" s="18" t="str">
        <x:v>extension không cho phép</x:v>
      </x:c>
      <x:c r="E13" s="18" t="str">
        <x:v>IllegalArgumentException</x:v>
      </x:c>
      <x:c r="F13" s="18" t="str">
        <x:v>Unit test hiện có</x:v>
      </x:c>
      <x:c r="G13" s="21" t="str">
        <x:v>PASS</x:v>
      </x:c>
      <x:c r="H13" s="17" t="str"/>
    </x:row>
    <x:row r="14" ht="27" customHeight="1">
      <x:c r="A14" s="17" t="str">
        <x:v>NEG-008</x:v>
      </x:c>
      <x:c r="B14" s="17" t="str">
        <x:v>OnboardingFileSizeBvaTest</x:v>
      </x:c>
      <x:c r="C14" s="17" t="str">
        <x:v>Upload</x:v>
      </x:c>
      <x:c r="D14" s="17" t="str">
        <x:v>file &gt; 10 MB</x:v>
      </x:c>
      <x:c r="E14" s="17" t="str">
        <x:v>IllegalArgumentException</x:v>
      </x:c>
      <x:c r="F14" s="17" t="str">
        <x:v>BVA-033</x:v>
      </x:c>
      <x:c r="G14" s="21" t="str">
        <x:v>PASS</x:v>
      </x:c>
      <x:c r="H14" s="17" t="str"/>
    </x:row>
    <x:row r="15" ht="27" customHeight="1">
      <x:c r="A15" s="18" t="str">
        <x:v>NEG-009</x:v>
      </x:c>
      <x:c r="B15" s="18" t="str">
        <x:v>OnboardingServiceTest</x:v>
      </x:c>
      <x:c r="C15" s="18" t="str">
        <x:v>Upload</x:v>
      </x:c>
      <x:c r="D15" s="18" t="str">
        <x:v>originalFilename = null</x:v>
      </x:c>
      <x:c r="E15" s="18" t="str">
        <x:v>IllegalArgumentException</x:v>
      </x:c>
      <x:c r="F15" s="18" t="str">
        <x:v>Unit test hiện có</x:v>
      </x:c>
      <x:c r="G15" s="21" t="str">
        <x:v>PASS</x:v>
      </x:c>
      <x:c r="H15" s="17" t="str"/>
    </x:row>
    <x:row r="16" ht="27" customHeight="1">
      <x:c r="A16" s="17" t="str">
        <x:v>NEG-010</x:v>
      </x:c>
      <x:c r="B16" s="17" t="str">
        <x:v>OnboardingServiceTest</x:v>
      </x:c>
      <x:c r="C16" s="17" t="str">
        <x:v>Upload</x:v>
      </x:c>
      <x:c r="D16" s="17" t="str">
        <x:v>filename không có dấu chấm</x:v>
      </x:c>
      <x:c r="E16" s="17" t="str">
        <x:v>Nên báo lỗi tên file thân thiện</x:v>
      </x:c>
      <x:c r="F16" s="17" t="str">
        <x:v>Hiện ném StringIndexOutOfBoundsException</x:v>
      </x:c>
      <x:c r="G16" s="27" t="str">
        <x:v>KNOWN BUG</x:v>
      </x:c>
      <x:c r="H16" s="17" t="str">
        <x:v>Cần thêm guard lastIndexOf(".") &lt; 0</x:v>
      </x:c>
    </x:row>
    <x:row r="17" ht="27" customHeight="1">
      <x:c r="A17" s="18" t="str">
        <x:v>NEG-011</x:v>
      </x:c>
      <x:c r="B17" s="18" t="str">
        <x:v>AuthServiceTest</x:v>
      </x:c>
      <x:c r="C17" s="18" t="str">
        <x:v>Registration</x:v>
      </x:c>
      <x:c r="D17" s="18" t="str">
        <x:v>email đã tồn tại</x:v>
      </x:c>
      <x:c r="E17" s="18" t="str">
        <x:v>EmailAlreadyExistsException</x:v>
      </x:c>
      <x:c r="F17" s="18" t="str">
        <x:v>Unit test hiện có</x:v>
      </x:c>
      <x:c r="G17" s="21" t="str">
        <x:v>PASS</x:v>
      </x:c>
      <x:c r="H17" s="17" t="str"/>
    </x:row>
    <x:row r="18" ht="27" customHeight="1">
      <x:c r="A18" s="17" t="str">
        <x:v>NEG-012</x:v>
      </x:c>
      <x:c r="B18" s="17" t="str">
        <x:v>AuthServiceTest</x:v>
      </x:c>
      <x:c r="C18" s="17" t="str">
        <x:v>Registration</x:v>
      </x:c>
      <x:c r="D18" s="17" t="str">
        <x:v>Role STUDENT chưa seed</x:v>
      </x:c>
      <x:c r="E18" s="17" t="str">
        <x:v>IllegalStateException</x:v>
      </x:c>
      <x:c r="F18" s="17" t="str">
        <x:v>Unit test hiện có</x:v>
      </x:c>
      <x:c r="G18" s="21" t="str">
        <x:v>PASS</x:v>
      </x:c>
      <x:c r="H18" s="17" t="str"/>
    </x:row>
    <x:row r="19" ht="27" customHeight="1">
      <x:c r="A19" s="18" t="str">
        <x:v>NEG-013</x:v>
      </x:c>
      <x:c r="B19" s="18" t="str">
        <x:v>AdminUserServiceTest</x:v>
      </x:c>
      <x:c r="C19" s="18" t="str">
        <x:v>Admin action</x:v>
      </x:c>
      <x:c r="D19" s="18" t="str">
        <x:v>userId không tồn tại</x:v>
      </x:c>
      <x:c r="E19" s="18" t="str">
        <x:v>IllegalArgumentException</x:v>
      </x:c>
      <x:c r="F19" s="18" t="str">
        <x:v>Unit test hiện có</x:v>
      </x:c>
      <x:c r="G19" s="21" t="str">
        <x:v>PASS</x:v>
      </x:c>
      <x:c r="H19" s="17" t="str"/>
    </x:row>
    <x:row r="20" ht="27" customHeight="1">
      <x:c r="A20" s="17" t="str">
        <x:v>NEG-014</x:v>
      </x:c>
      <x:c r="B20" s="17" t="str">
        <x:v>AdminUserServiceTest</x:v>
      </x:c>
      <x:c r="C20" s="17" t="str">
        <x:v>Admin action</x:v>
      </x:c>
      <x:c r="D20" s="17" t="str">
        <x:v>admin tự khóa chính mình</x:v>
      </x:c>
      <x:c r="E20" s="17" t="str">
        <x:v>Từ chối thao tác</x:v>
      </x:c>
      <x:c r="F20" s="17" t="str">
        <x:v>Unit test hiện có</x:v>
      </x:c>
      <x:c r="G20" s="21" t="str">
        <x:v>PASS</x:v>
      </x:c>
      <x:c r="H20" s="17" t="str"/>
    </x:row>
    <x:row r="21" ht="27" customHeight="1">
      <x:c r="A21" s="18" t="str">
        <x:v>NEG-015</x:v>
      </x:c>
      <x:c r="B21" s="18" t="str">
        <x:v>AdminUserServiceTest</x:v>
      </x:c>
      <x:c r="C21" s="18" t="str">
        <x:v>Admin action</x:v>
      </x:c>
      <x:c r="D21" s="18" t="str">
        <x:v>admin tự xóa chính mình</x:v>
      </x:c>
      <x:c r="E21" s="18" t="str">
        <x:v>Từ chối thao tác</x:v>
      </x:c>
      <x:c r="F21" s="18" t="str">
        <x:v>Unit test hiện có</x:v>
      </x:c>
      <x:c r="G21" s="21" t="str">
        <x:v>PASS</x:v>
      </x:c>
      <x:c r="H21" s="17" t="str"/>
    </x:row>
    <x:row r="22" ht="27" customHeight="1">
      <x:c r="A22" s="17" t="str">
        <x:v>NEG-016</x:v>
      </x:c>
      <x:c r="B22" s="17" t="str">
        <x:v>SkillGapServiceTest</x:v>
      </x:c>
      <x:c r="C22" s="17" t="str">
        <x:v>Skill input</x:v>
      </x:c>
      <x:c r="D22" s="17" t="str">
        <x:v>skillId = null</x:v>
      </x:c>
      <x:c r="E22" s="17" t="str">
        <x:v>BAD_REQUEST</x:v>
      </x:c>
      <x:c r="F22" s="17" t="str">
        <x:v>Unit test hiện có</x:v>
      </x:c>
      <x:c r="G22" s="21" t="str">
        <x:v>PASS</x:v>
      </x:c>
      <x:c r="H22" s="17" t="str"/>
    </x:row>
    <x:row r="23" ht="27" customHeight="1">
      <x:c r="A23" s="18" t="str">
        <x:v>NEG-017</x:v>
      </x:c>
      <x:c r="B23" s="18" t="str">
        <x:v>SkillGapServiceTest</x:v>
      </x:c>
      <x:c r="C23" s="18" t="str">
        <x:v>Skill input</x:v>
      </x:c>
      <x:c r="D23" s="18" t="str">
        <x:v>skillId không tồn tại</x:v>
      </x:c>
      <x:c r="E23" s="18" t="str">
        <x:v>NOT_FOUND</x:v>
      </x:c>
      <x:c r="F23" s="18" t="str">
        <x:v>Unit test hiện có</x:v>
      </x:c>
      <x:c r="G23" s="21" t="str">
        <x:v>PASS</x:v>
      </x:c>
      <x:c r="H23" s="17" t="str"/>
    </x:row>
    <x:row r="24" ht="27" customHeight="1">
      <x:c r="A24" s="17" t="str">
        <x:v>NEG-018</x:v>
      </x:c>
      <x:c r="B24" s="17" t="str">
        <x:v>ProgressServiceTest</x:v>
      </x:c>
      <x:c r="C24" s="17" t="str">
        <x:v>Progress input</x:v>
      </x:c>
      <x:c r="D24" s="17" t="str">
        <x:v>skillNodeId = null</x:v>
      </x:c>
      <x:c r="E24" s="17" t="str">
        <x:v>BAD_REQUEST</x:v>
      </x:c>
      <x:c r="F24" s="17" t="str">
        <x:v>Unit test hiện có</x:v>
      </x:c>
      <x:c r="G24" s="21" t="str">
        <x:v>PASS</x:v>
      </x:c>
      <x:c r="H24" s="17" t="str"/>
    </x:row>
    <x:row r="25" ht="27" customHeight="1">
      <x:c r="A25" s="18" t="str">
        <x:v>NEG-019</x:v>
      </x:c>
      <x:c r="B25" s="18" t="str">
        <x:v>ProgressServiceTest</x:v>
      </x:c>
      <x:c r="C25" s="18" t="str">
        <x:v>Progress input</x:v>
      </x:c>
      <x:c r="D25" s="18" t="str">
        <x:v>status = null</x:v>
      </x:c>
      <x:c r="E25" s="18" t="str">
        <x:v>BAD_REQUEST</x:v>
      </x:c>
      <x:c r="F25" s="18" t="str">
        <x:v>Unit test hiện có</x:v>
      </x:c>
      <x:c r="G25" s="21" t="str">
        <x:v>PASS</x:v>
      </x:c>
      <x:c r="H25" s="17" t="str"/>
    </x:row>
    <x:row r="26" ht="27" customHeight="1">
      <x:c r="A26" s="17" t="str">
        <x:v>NEG-020</x:v>
      </x:c>
      <x:c r="B26" s="17" t="str">
        <x:v>ProgressServiceTest</x:v>
      </x:c>
      <x:c r="C26" s="17" t="str">
        <x:v>Progress gating</x:v>
      </x:c>
      <x:c r="D26" s="17" t="str">
        <x:v>node locked + status DONE</x:v>
      </x:c>
      <x:c r="E26" s="17" t="str">
        <x:v>FORBIDDEN</x:v>
      </x:c>
      <x:c r="F26" s="17" t="str">
        <x:v>Unit test hiện có</x:v>
      </x:c>
      <x:c r="G26" s="21" t="str">
        <x:v>PASS</x:v>
      </x:c>
      <x:c r="H26" s="17" t="str"/>
    </x:row>
    <x:row r="27" ht="27" customHeight="1">
      <x:c r="A27" s="18" t="str">
        <x:v>NEG-021</x:v>
      </x:c>
      <x:c r="B27" s="18" t="str">
        <x:v>MentorServiceTest</x:v>
      </x:c>
      <x:c r="C27" s="18" t="str">
        <x:v>External dependency</x:v>
      </x:c>
      <x:c r="D27" s="18" t="str">
        <x:v>LLM throws exception</x:v>
      </x:c>
      <x:c r="E27" s="18" t="str">
        <x:v>Fallback reply + vẫn lưu message</x:v>
      </x:c>
      <x:c r="F27" s="18" t="str">
        <x:v>Unit test hiện có</x:v>
      </x:c>
      <x:c r="G27" s="21" t="str">
        <x:v>PASS</x:v>
      </x:c>
      <x:c r="H27" s="17" t="str"/>
    </x:row>
    <x:row r="28" ht="27" customHeight="1">
      <x:c r="A28" s="17" t="str">
        <x:v>NEG-022</x:v>
      </x:c>
      <x:c r="B28" s="17" t="str">
        <x:v>ScraperServiceTest</x:v>
      </x:c>
      <x:c r="C28" s="17" t="str">
        <x:v>External dependency</x:v>
      </x:c>
      <x:c r="D28" s="17" t="str">
        <x:v>connection reset</x:v>
      </x:c>
      <x:c r="E28" s="17" t="str">
        <x:v>Không làm crash luồng scraper</x:v>
      </x:c>
      <x:c r="F28" s="17" t="str">
        <x:v>Unit test hiện có</x:v>
      </x:c>
      <x:c r="G28" s="21" t="str">
        <x:v>PASS</x:v>
      </x:c>
      <x:c r="H28" s="17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ce7370d0c8141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28" customHeight="1">
      <x:c r="A1" s="2" t="str">
        <x:v>Unit Testing — Maven/JUnit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Kết quả lần chạy Maven hiện tại: 231 test, 0 failure, 0 error, 0 skipped. BVA là một kỹ thuật thiết kế nằm trong lớp unit test.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COUNTA($A$7:$A$33)</x:f>
        <x:v>27</x:v>
      </x:c>
      <x:c r="C4" s="9" t="str">
        <x:v>PASS</x:v>
      </x:c>
      <x:c r="D4" s="9" t="n">
        <x:f>COUNTIF($G$7:$G$33,"PASS")</x:f>
        <x:v>27</x:v>
      </x:c>
      <x:c r="E4" s="9" t="str">
        <x:v>Chưa chạy</x:v>
      </x:c>
      <x:c r="F4" s="9" t="n">
        <x:f>COUNTIF($G$7:$G$33,"Chưa chạy")</x:f>
        <x:v>0</x:v>
      </x:c>
      <x:c r="G4" s="9" t="str">
        <x:v>Known bug</x:v>
      </x:c>
      <x:c r="H4" s="9" t="n">
        <x:f>COUNTIF($G$7:$G$33,"KNOWN BUG")</x:f>
        <x:v>0</x:v>
      </x:c>
    </x:row>
    <x:row r="6" ht="28" customHeight="1">
      <x:c r="A6" s="14" t="str">
        <x:v>Test class</x:v>
      </x:c>
      <x:c r="B6" s="14" t="str">
        <x:v>Module</x:v>
      </x:c>
      <x:c r="C6" s="14" t="str">
        <x:v>Test count</x:v>
      </x:c>
      <x:c r="D6" s="14" t="str">
        <x:v>Failures</x:v>
      </x:c>
      <x:c r="E6" s="14" t="str">
        <x:v>Errors</x:v>
      </x:c>
      <x:c r="F6" s="14" t="str">
        <x:v>Skipped</x:v>
      </x:c>
      <x:c r="G6" s="14" t="str">
        <x:v>Status</x:v>
      </x:c>
      <x:c r="H6" s="14" t="str">
        <x:v>Focus</x:v>
      </x:c>
    </x:row>
    <x:row r="7" ht="27" customHeight="1">
      <x:c r="A7" s="18" t="str">
        <x:v>CareerCompassApplicationTests</x:v>
      </x:c>
      <x:c r="B7" s="18" t="str">
        <x:v>Application context</x:v>
      </x:c>
      <x:c r="C7" s="18" t="n">
        <x:v>1</x:v>
      </x:c>
      <x:c r="D7" s="18" t="n">
        <x:v>0</x:v>
      </x:c>
      <x:c r="E7" s="18" t="n">
        <x:v>0</x:v>
      </x:c>
      <x:c r="F7" s="18" t="n">
        <x:v>0</x:v>
      </x:c>
      <x:c r="G7" s="21" t="str">
        <x:v>PASS</x:v>
      </x:c>
      <x:c r="H7" s="17" t="str">
        <x:v>Spring Boot context loads</x:v>
      </x:c>
    </x:row>
    <x:row r="8" ht="27" customHeight="1">
      <x:c r="A8" s="17" t="str">
        <x:v>AdminDashboardServiceTest</x:v>
      </x:c>
      <x:c r="B8" s="17" t="str">
        <x:v>Admin dashboard</x:v>
      </x:c>
      <x:c r="C8" s="17" t="n">
        <x:v>3</x:v>
      </x:c>
      <x:c r="D8" s="17" t="n">
        <x:v>0</x:v>
      </x:c>
      <x:c r="E8" s="17" t="n">
        <x:v>0</x:v>
      </x:c>
      <x:c r="F8" s="17" t="n">
        <x:v>0</x:v>
      </x:c>
      <x:c r="G8" s="21" t="str">
        <x:v>PASS</x:v>
      </x:c>
      <x:c r="H8" s="17" t="str">
        <x:v>Dashboard aggregation</x:v>
      </x:c>
    </x:row>
    <x:row r="9" ht="27" customHeight="1">
      <x:c r="A9" s="18" t="str">
        <x:v>AdminUserServiceTest</x:v>
      </x:c>
      <x:c r="B9" s="18" t="str">
        <x:v>Admin users</x:v>
      </x:c>
      <x:c r="C9" s="18" t="n">
        <x:v>13</x:v>
      </x:c>
      <x:c r="D9" s="18" t="n">
        <x:v>0</x:v>
      </x:c>
      <x:c r="E9" s="18" t="n">
        <x:v>0</x:v>
      </x:c>
      <x:c r="F9" s="18" t="n">
        <x:v>0</x:v>
      </x:c>
      <x:c r="G9" s="21" t="str">
        <x:v>PASS</x:v>
      </x:c>
      <x:c r="H9" s="17" t="str">
        <x:v>User status, delete, role, self-action</x:v>
      </x:c>
    </x:row>
    <x:row r="10" ht="27" customHeight="1">
      <x:c r="A10" s="17" t="str">
        <x:v>CounselorTemplateServiceTest</x:v>
      </x:c>
      <x:c r="B10" s="17" t="str">
        <x:v>Counselor template</x:v>
      </x:c>
      <x:c r="C10" s="17" t="n">
        <x:v>37</x:v>
      </x:c>
      <x:c r="D10" s="17" t="n">
        <x:v>0</x:v>
      </x:c>
      <x:c r="E10" s="17" t="n">
        <x:v>0</x:v>
      </x:c>
      <x:c r="F10" s="17" t="n">
        <x:v>0</x:v>
      </x:c>
      <x:c r="G10" s="21" t="str">
        <x:v>PASS</x:v>
      </x:c>
      <x:c r="H10" s="17" t="str">
        <x:v>Template/node/skill CRUD and rules</x:v>
      </x:c>
    </x:row>
    <x:row r="11" ht="27" customHeight="1">
      <x:c r="A11" s="18" t="str">
        <x:v>OnboardingFileSizeBvaTest</x:v>
      </x:c>
      <x:c r="B11" s="18" t="str">
        <x:v>BVA file size</x:v>
      </x:c>
      <x:c r="C11" s="18" t="n">
        <x:v>6</x:v>
      </x:c>
      <x:c r="D11" s="18" t="n">
        <x:v>0</x:v>
      </x:c>
      <x:c r="E11" s="18" t="n">
        <x:v>0</x:v>
      </x:c>
      <x:c r="F11" s="18" t="n">
        <x:v>0</x:v>
      </x:c>
      <x:c r="G11" s="21" t="str">
        <x:v>PASS</x:v>
      </x:c>
      <x:c r="H11" s="17" t="str">
        <x:v>5-point BVA + max+1</x:v>
      </x:c>
    </x:row>
    <x:row r="12" ht="27" customHeight="1">
      <x:c r="A12" s="17" t="str">
        <x:v>RegisterFormDTOBvaTest</x:v>
      </x:c>
      <x:c r="B12" s="17" t="str">
        <x:v>BVA registration DTO</x:v>
      </x:c>
      <x:c r="C12" s="17" t="n">
        <x:v>27</x:v>
      </x:c>
      <x:c r="D12" s="17" t="n">
        <x:v>0</x:v>
      </x:c>
      <x:c r="E12" s="17" t="n">
        <x:v>0</x:v>
      </x:c>
      <x:c r="F12" s="17" t="n">
        <x:v>0</x:v>
      </x:c>
      <x:c r="G12" s="21" t="str">
        <x:v>PASS</x:v>
      </x:c>
      <x:c r="H12" s="17" t="str">
        <x:v>5-point BVA + robust/negative</x:v>
      </x:c>
    </x:row>
    <x:row r="13" ht="27" customHeight="1">
      <x:c r="A13" s="18" t="str">
        <x:v>DashboardServiceTest</x:v>
      </x:c>
      <x:c r="B13" s="18" t="str">
        <x:v>Dashboard</x:v>
      </x:c>
      <x:c r="C13" s="18" t="n">
        <x:v>2</x:v>
      </x:c>
      <x:c r="D13" s="18" t="n">
        <x:v>0</x:v>
      </x:c>
      <x:c r="E13" s="18" t="n">
        <x:v>0</x:v>
      </x:c>
      <x:c r="F13" s="18" t="n">
        <x:v>0</x:v>
      </x:c>
      <x:c r="G13" s="21" t="str">
        <x:v>PASS</x:v>
      </x:c>
      <x:c r="H13" s="17" t="str">
        <x:v>Dashboard data orchestration</x:v>
      </x:c>
    </x:row>
    <x:row r="14" ht="27" customHeight="1">
      <x:c r="A14" s="17" t="str">
        <x:v>ActivityLogServiceTest</x:v>
      </x:c>
      <x:c r="B14" s="17" t="str">
        <x:v>Activity log</x:v>
      </x:c>
      <x:c r="C14" s="17" t="n">
        <x:v>1</x:v>
      </x:c>
      <x:c r="D14" s="17" t="n">
        <x:v>0</x:v>
      </x:c>
      <x:c r="E14" s="17" t="n">
        <x:v>0</x:v>
      </x:c>
      <x:c r="F14" s="17" t="n">
        <x:v>0</x:v>
      </x:c>
      <x:c r="G14" s="21" t="str">
        <x:v>PASS</x:v>
      </x:c>
      <x:c r="H14" s="17" t="str">
        <x:v>Log persistence</x:v>
      </x:c>
    </x:row>
    <x:row r="15" ht="27" customHeight="1">
      <x:c r="A15" s="18" t="str">
        <x:v>AuthenticatedUserServiceTest</x:v>
      </x:c>
      <x:c r="B15" s="18" t="str">
        <x:v>Authentication</x:v>
      </x:c>
      <x:c r="C15" s="18" t="n">
        <x:v>7</x:v>
      </x:c>
      <x:c r="D15" s="18" t="n">
        <x:v>0</x:v>
      </x:c>
      <x:c r="E15" s="18" t="n">
        <x:v>0</x:v>
      </x:c>
      <x:c r="F15" s="18" t="n">
        <x:v>0</x:v>
      </x:c>
      <x:c r="G15" s="21" t="str">
        <x:v>PASS</x:v>
      </x:c>
      <x:c r="H15" s="17" t="str">
        <x:v>Current user/auth context</x:v>
      </x:c>
    </x:row>
    <x:row r="16" ht="27" customHeight="1">
      <x:c r="A16" s="17" t="str">
        <x:v>AuthServiceTest</x:v>
      </x:c>
      <x:c r="B16" s="17" t="str">
        <x:v>Authentication</x:v>
      </x:c>
      <x:c r="C16" s="17" t="n">
        <x:v>3</x:v>
      </x:c>
      <x:c r="D16" s="17" t="n">
        <x:v>0</x:v>
      </x:c>
      <x:c r="E16" s="17" t="n">
        <x:v>0</x:v>
      </x:c>
      <x:c r="F16" s="17" t="n">
        <x:v>0</x:v>
      </x:c>
      <x:c r="G16" s="21" t="str">
        <x:v>PASS</x:v>
      </x:c>
      <x:c r="H16" s="17" t="str">
        <x:v>Registration business rules</x:v>
      </x:c>
    </x:row>
    <x:row r="17" ht="27" customHeight="1">
      <x:c r="A17" s="18" t="str">
        <x:v>CustomUserDetailsServiceTest</x:v>
      </x:c>
      <x:c r="B17" s="18" t="str">
        <x:v>Authentication</x:v>
      </x:c>
      <x:c r="C17" s="18" t="n">
        <x:v>2</x:v>
      </x:c>
      <x:c r="D17" s="18" t="n">
        <x:v>0</x:v>
      </x:c>
      <x:c r="E17" s="18" t="n">
        <x:v>0</x:v>
      </x:c>
      <x:c r="F17" s="18" t="n">
        <x:v>0</x:v>
      </x:c>
      <x:c r="G17" s="21" t="str">
        <x:v>PASS</x:v>
      </x:c>
      <x:c r="H17" s="17" t="str">
        <x:v>UserDetails loading</x:v>
      </x:c>
    </x:row>
    <x:row r="18" ht="27" customHeight="1">
      <x:c r="A18" s="17" t="str">
        <x:v>MarkdownRendererTest</x:v>
      </x:c>
      <x:c r="B18" s="17" t="str">
        <x:v>Rendering</x:v>
      </x:c>
      <x:c r="C18" s="17" t="n">
        <x:v>4</x:v>
      </x:c>
      <x:c r="D18" s="17" t="n">
        <x:v>0</x:v>
      </x:c>
      <x:c r="E18" s="17" t="n">
        <x:v>0</x:v>
      </x:c>
      <x:c r="F18" s="17" t="n">
        <x:v>0</x:v>
      </x:c>
      <x:c r="G18" s="21" t="str">
        <x:v>PASS</x:v>
      </x:c>
      <x:c r="H18" s="17" t="str">
        <x:v>Markdown to HTML</x:v>
      </x:c>
    </x:row>
    <x:row r="19" ht="27" customHeight="1">
      <x:c r="A19" s="18" t="str">
        <x:v>PasswordResetServiceTest</x:v>
      </x:c>
      <x:c r="B19" s="18" t="str">
        <x:v>Password reset</x:v>
      </x:c>
      <x:c r="C19" s="18" t="n">
        <x:v>8</x:v>
      </x:c>
      <x:c r="D19" s="18" t="n">
        <x:v>0</x:v>
      </x:c>
      <x:c r="E19" s="18" t="n">
        <x:v>0</x:v>
      </x:c>
      <x:c r="F19" s="18" t="n">
        <x:v>0</x:v>
      </x:c>
      <x:c r="G19" s="21" t="str">
        <x:v>PASS</x:v>
      </x:c>
      <x:c r="H19" s="17" t="str">
        <x:v>Reset token/service rules</x:v>
      </x:c>
    </x:row>
    <x:row r="20" ht="27" customHeight="1">
      <x:c r="A20" s="17" t="str">
        <x:v>SmtpEmailServiceTest</x:v>
      </x:c>
      <x:c r="B20" s="17" t="str">
        <x:v>Email</x:v>
      </x:c>
      <x:c r="C20" s="17" t="n">
        <x:v>1</x:v>
      </x:c>
      <x:c r="D20" s="17" t="n">
        <x:v>0</x:v>
      </x:c>
      <x:c r="E20" s="17" t="n">
        <x:v>0</x:v>
      </x:c>
      <x:c r="F20" s="17" t="n">
        <x:v>0</x:v>
      </x:c>
      <x:c r="G20" s="21" t="str">
        <x:v>PASS</x:v>
      </x:c>
      <x:c r="H20" s="17" t="str">
        <x:v>Email sending adapter</x:v>
      </x:c>
    </x:row>
    <x:row r="21" ht="27" customHeight="1">
      <x:c r="A21" s="18" t="str">
        <x:v>UserProfileServiceTest</x:v>
      </x:c>
      <x:c r="B21" s="18" t="str">
        <x:v>Profile</x:v>
      </x:c>
      <x:c r="C21" s="18" t="n">
        <x:v>7</x:v>
      </x:c>
      <x:c r="D21" s="18" t="n">
        <x:v>0</x:v>
      </x:c>
      <x:c r="E21" s="18" t="n">
        <x:v>0</x:v>
      </x:c>
      <x:c r="F21" s="18" t="n">
        <x:v>0</x:v>
      </x:c>
      <x:c r="G21" s="21" t="str">
        <x:v>PASS</x:v>
      </x:c>
      <x:c r="H21" s="17" t="str">
        <x:v>Profile update/password</x:v>
      </x:c>
    </x:row>
    <x:row r="22" ht="27" customHeight="1">
      <x:c r="A22" s="17" t="str">
        <x:v>KeywordAnalysisServiceTest</x:v>
      </x:c>
      <x:c r="B22" s="17" t="str">
        <x:v>Market pulse</x:v>
      </x:c>
      <x:c r="C22" s="17" t="n">
        <x:v>7</x:v>
      </x:c>
      <x:c r="D22" s="17" t="n">
        <x:v>0</x:v>
      </x:c>
      <x:c r="E22" s="17" t="n">
        <x:v>0</x:v>
      </x:c>
      <x:c r="F22" s="17" t="n">
        <x:v>0</x:v>
      </x:c>
      <x:c r="G22" s="21" t="str">
        <x:v>PASS</x:v>
      </x:c>
      <x:c r="H22" s="17" t="str">
        <x:v>Keyword analysis</x:v>
      </x:c>
    </x:row>
    <x:row r="23" ht="27" customHeight="1">
      <x:c r="A23" s="18" t="str">
        <x:v>MarketPulseServiceTest</x:v>
      </x:c>
      <x:c r="B23" s="18" t="str">
        <x:v>Market pulse</x:v>
      </x:c>
      <x:c r="C23" s="18" t="n">
        <x:v>3</x:v>
      </x:c>
      <x:c r="D23" s="18" t="n">
        <x:v>0</x:v>
      </x:c>
      <x:c r="E23" s="18" t="n">
        <x:v>0</x:v>
      </x:c>
      <x:c r="F23" s="18" t="n">
        <x:v>0</x:v>
      </x:c>
      <x:c r="G23" s="21" t="str">
        <x:v>PASS</x:v>
      </x:c>
      <x:c r="H23" s="17" t="str">
        <x:v>Market trend aggregation</x:v>
      </x:c>
    </x:row>
    <x:row r="24" ht="27" customHeight="1">
      <x:c r="A24" s="17" t="str">
        <x:v>ScraperServiceTest</x:v>
      </x:c>
      <x:c r="B24" s="17" t="str">
        <x:v>Market pulse</x:v>
      </x:c>
      <x:c r="C24" s="17" t="n">
        <x:v>5</x:v>
      </x:c>
      <x:c r="D24" s="17" t="n">
        <x:v>0</x:v>
      </x:c>
      <x:c r="E24" s="17" t="n">
        <x:v>0</x:v>
      </x:c>
      <x:c r="F24" s="17" t="n">
        <x:v>0</x:v>
      </x:c>
      <x:c r="G24" s="21" t="str">
        <x:v>PASS</x:v>
      </x:c>
      <x:c r="H24" s="17" t="str">
        <x:v>Scraper success/failure</x:v>
      </x:c>
    </x:row>
    <x:row r="25" ht="27" customHeight="1">
      <x:c r="A25" s="18" t="str">
        <x:v>MentorServiceTest</x:v>
      </x:c>
      <x:c r="B25" s="18" t="str">
        <x:v>Mentor</x:v>
      </x:c>
      <x:c r="C25" s="18" t="n">
        <x:v>10</x:v>
      </x:c>
      <x:c r="D25" s="18" t="n">
        <x:v>0</x:v>
      </x:c>
      <x:c r="E25" s="18" t="n">
        <x:v>0</x:v>
      </x:c>
      <x:c r="F25" s="18" t="n">
        <x:v>0</x:v>
      </x:c>
      <x:c r="G25" s="21" t="str">
        <x:v>PASS</x:v>
      </x:c>
      <x:c r="H25" s="17" t="str">
        <x:v>Chat/fallback/persistence</x:v>
      </x:c>
    </x:row>
    <x:row r="26" ht="27" customHeight="1">
      <x:c r="A26" s="17" t="str">
        <x:v>OnboardingServiceTest</x:v>
      </x:c>
      <x:c r="B26" s="17" t="str">
        <x:v>Onboarding</x:v>
      </x:c>
      <x:c r="C26" s="17" t="n">
        <x:v>7</x:v>
      </x:c>
      <x:c r="D26" s="17" t="n">
        <x:v>0</x:v>
      </x:c>
      <x:c r="E26" s="17" t="n">
        <x:v>0</x:v>
      </x:c>
      <x:c r="F26" s="17" t="n">
        <x:v>0</x:v>
      </x:c>
      <x:c r="G26" s="21" t="str">
        <x:v>PASS</x:v>
      </x:c>
      <x:c r="H26" s="17" t="str">
        <x:v>File and user skills</x:v>
      </x:c>
    </x:row>
    <x:row r="27" ht="27" customHeight="1">
      <x:c r="A27" s="18" t="str">
        <x:v>TranscriptAnalysisServiceTest</x:v>
      </x:c>
      <x:c r="B27" s="18" t="str">
        <x:v>Onboarding</x:v>
      </x:c>
      <x:c r="C27" s="18" t="n">
        <x:v>5</x:v>
      </x:c>
      <x:c r="D27" s="18" t="n">
        <x:v>0</x:v>
      </x:c>
      <x:c r="E27" s="18" t="n">
        <x:v>0</x:v>
      </x:c>
      <x:c r="F27" s="18" t="n">
        <x:v>0</x:v>
      </x:c>
      <x:c r="G27" s="21" t="str">
        <x:v>PASS</x:v>
      </x:c>
      <x:c r="H27" s="17" t="str">
        <x:v>Transcript parsing/LLM fallback</x:v>
      </x:c>
    </x:row>
    <x:row r="28" ht="27" customHeight="1">
      <x:c r="A28" s="17" t="str">
        <x:v>PortfolioServiceTest</x:v>
      </x:c>
      <x:c r="B28" s="17" t="str">
        <x:v>Portfolio</x:v>
      </x:c>
      <x:c r="C28" s="17" t="n">
        <x:v>22</x:v>
      </x:c>
      <x:c r="D28" s="17" t="n">
        <x:v>0</x:v>
      </x:c>
      <x:c r="E28" s="17" t="n">
        <x:v>0</x:v>
      </x:c>
      <x:c r="F28" s="17" t="n">
        <x:v>0</x:v>
      </x:c>
      <x:c r="G28" s="21" t="str">
        <x:v>PASS</x:v>
      </x:c>
      <x:c r="H28" s="17" t="str">
        <x:v>GitHub/project portfolio</x:v>
      </x:c>
    </x:row>
    <x:row r="29" ht="27" customHeight="1">
      <x:c r="A29" s="18" t="str">
        <x:v>ProfileServiceTest</x:v>
      </x:c>
      <x:c r="B29" s="18" t="str">
        <x:v>Profile</x:v>
      </x:c>
      <x:c r="C29" s="18" t="n">
        <x:v>14</x:v>
      </x:c>
      <x:c r="D29" s="18" t="n">
        <x:v>0</x:v>
      </x:c>
      <x:c r="E29" s="18" t="n">
        <x:v>0</x:v>
      </x:c>
      <x:c r="F29" s="18" t="n">
        <x:v>0</x:v>
      </x:c>
      <x:c r="G29" s="21" t="str">
        <x:v>PASS</x:v>
      </x:c>
      <x:c r="H29" s="17" t="str">
        <x:v>Profile controller/service</x:v>
      </x:c>
    </x:row>
    <x:row r="30" ht="27" customHeight="1">
      <x:c r="A30" s="17" t="str">
        <x:v>PdfServiceTest</x:v>
      </x:c>
      <x:c r="B30" s="17" t="str">
        <x:v>Roadmap/Skill gap</x:v>
      </x:c>
      <x:c r="C30" s="17" t="n">
        <x:v>5</x:v>
      </x:c>
      <x:c r="D30" s="17" t="n">
        <x:v>0</x:v>
      </x:c>
      <x:c r="E30" s="17" t="n">
        <x:v>0</x:v>
      </x:c>
      <x:c r="F30" s="17" t="n">
        <x:v>0</x:v>
      </x:c>
      <x:c r="G30" s="21" t="str">
        <x:v>PASS</x:v>
      </x:c>
      <x:c r="H30" s="17" t="str">
        <x:v>PDF export</x:v>
      </x:c>
    </x:row>
    <x:row r="31" ht="27" customHeight="1">
      <x:c r="A31" s="18" t="str">
        <x:v>ProgressServiceTest</x:v>
      </x:c>
      <x:c r="B31" s="18" t="str">
        <x:v>Roadmap</x:v>
      </x:c>
      <x:c r="C31" s="18" t="n">
        <x:v>7</x:v>
      </x:c>
      <x:c r="D31" s="18" t="n">
        <x:v>0</x:v>
      </x:c>
      <x:c r="E31" s="18" t="n">
        <x:v>0</x:v>
      </x:c>
      <x:c r="F31" s="18" t="n">
        <x:v>0</x:v>
      </x:c>
      <x:c r="G31" s="21" t="str">
        <x:v>PASS</x:v>
      </x:c>
      <x:c r="H31" s="17" t="str">
        <x:v>Progress and lock gating</x:v>
      </x:c>
    </x:row>
    <x:row r="32" ht="27" customHeight="1">
      <x:c r="A32" s="17" t="str">
        <x:v>RoadmapServiceTest</x:v>
      </x:c>
      <x:c r="B32" s="17" t="str">
        <x:v>Roadmap</x:v>
      </x:c>
      <x:c r="C32" s="17" t="n">
        <x:v>13</x:v>
      </x:c>
      <x:c r="D32" s="17" t="n">
        <x:v>0</x:v>
      </x:c>
      <x:c r="E32" s="17" t="n">
        <x:v>0</x:v>
      </x:c>
      <x:c r="F32" s="17" t="n">
        <x:v>0</x:v>
      </x:c>
      <x:c r="G32" s="21" t="str">
        <x:v>PASS</x:v>
      </x:c>
      <x:c r="H32" s="17" t="str">
        <x:v>Roadmap calculation</x:v>
      </x:c>
    </x:row>
    <x:row r="33" ht="27" customHeight="1">
      <x:c r="A33" s="18" t="str">
        <x:v>SkillGapServiceTest</x:v>
      </x:c>
      <x:c r="B33" s="18" t="str">
        <x:v>Skill gap</x:v>
      </x:c>
      <x:c r="C33" s="18" t="n">
        <x:v>11</x:v>
      </x:c>
      <x:c r="D33" s="18" t="n">
        <x:v>0</x:v>
      </x:c>
      <x:c r="E33" s="18" t="n">
        <x:v>0</x:v>
      </x:c>
      <x:c r="F33" s="18" t="n">
        <x:v>0</x:v>
      </x:c>
      <x:c r="G33" s="21" t="str">
        <x:v>PASS</x:v>
      </x:c>
      <x:c r="H33" s="17" t="str">
        <x:v>Analyze/acquired skills/report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5cb8815582147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2" t="str">
        <x:v>End-to-End / UI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17 scenario trong e2e/support/catalog.js. Workspace hiện chưa có output/result.json nên trạng thái được ghi là Chưa chạy.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COUNTA($A$7:$A$23)</x:f>
        <x:v>17</x:v>
      </x:c>
      <x:c r="C4" s="9" t="str">
        <x:v>PASS</x:v>
      </x:c>
      <x:c r="D4" s="9" t="n">
        <x:f>COUNTIF($G$7:$G$23,"PASS")</x:f>
        <x:v>0</x:v>
      </x:c>
      <x:c r="E4" s="9" t="str">
        <x:v>Chưa chạy</x:v>
      </x:c>
      <x:c r="F4" s="9" t="n">
        <x:f>COUNTIF($G$7:$G$23,"Chưa chạy")</x:f>
        <x:v>17</x:v>
      </x:c>
      <x:c r="G4" s="9" t="str">
        <x:v>Known bug</x:v>
      </x:c>
      <x:c r="H4" s="9" t="n">
        <x:f>COUNTIF($G$7:$G$23,"KNOWN BUG")</x:f>
        <x:v>0</x:v>
      </x:c>
    </x:row>
    <x:row r="6" ht="28" customHeight="1">
      <x:c r="A6" s="14" t="str">
        <x:v>Case ID</x:v>
      </x:c>
      <x:c r="B6" s="14" t="str">
        <x:v>Module</x:v>
      </x:c>
      <x:c r="C6" s="14" t="str">
        <x:v>Priority</x:v>
      </x:c>
      <x:c r="D6" s="14" t="str">
        <x:v>Type</x:v>
      </x:c>
      <x:c r="E6" s="14" t="str">
        <x:v>Expected result</x:v>
      </x:c>
      <x:c r="F6" s="14" t="str">
        <x:v>SRS</x:v>
      </x:c>
      <x:c r="G6" s="14" t="str">
        <x:v>Status</x:v>
      </x:c>
      <x:c r="H6" s="14" t="str">
        <x:v>Note</x:v>
      </x:c>
    </x:row>
    <x:row r="7" ht="27" customHeight="1">
      <x:c r="A7" s="18" t="str">
        <x:v>TC-AUTH-001</x:v>
      </x:c>
      <x:c r="B7" s="18" t="str">
        <x:v>Xác thực</x:v>
      </x:c>
      <x:c r="C7" s="18" t="str">
        <x:v>P0</x:v>
      </x:c>
      <x:c r="D7" s="18" t="str">
        <x:v>Smoke</x:v>
      </x:c>
      <x:c r="E7" s="18" t="str">
        <x:v>Tạo tài khoản thành công và đăng nhập được</x:v>
      </x:c>
      <x:c r="F7" s="18" t="str">
        <x:v>FR1.3</x:v>
      </x:c>
      <x:c r="G7" s="24" t="str">
        <x:v>Chưa chạy</x:v>
      </x:c>
      <x:c r="H7" s="17" t="str">
        <x:v>E2E catalog</x:v>
      </x:c>
    </x:row>
    <x:row r="8" ht="27" customHeight="1">
      <x:c r="A8" s="17" t="str">
        <x:v>TC-AUTH-002</x:v>
      </x:c>
      <x:c r="B8" s="17" t="str">
        <x:v>Xác thực</x:v>
      </x:c>
      <x:c r="C8" s="17" t="str">
        <x:v>P0</x:v>
      </x:c>
      <x:c r="D8" s="17" t="str">
        <x:v>Chức năng</x:v>
      </x:c>
      <x:c r="E8" s="17" t="str">
        <x:v>Email trùng bị từ chối</x:v>
      </x:c>
      <x:c r="F8" s="17" t="str">
        <x:v>FR1.3</x:v>
      </x:c>
      <x:c r="G8" s="24" t="str">
        <x:v>Chưa chạy</x:v>
      </x:c>
      <x:c r="H8" s="17" t="str">
        <x:v>E2E catalog</x:v>
      </x:c>
    </x:row>
    <x:row r="9" ht="27" customHeight="1">
      <x:c r="A9" s="18" t="str">
        <x:v>TC-AUTH-003</x:v>
      </x:c>
      <x:c r="B9" s="18" t="str">
        <x:v>Xác thực</x:v>
      </x:c>
      <x:c r="C9" s="18" t="str">
        <x:v>P0</x:v>
      </x:c>
      <x:c r="D9" s="18" t="str">
        <x:v>Bảo mật</x:v>
      </x:c>
      <x:c r="E9" s="18" t="str">
        <x:v>Sai mật khẩu bị từ chối</x:v>
      </x:c>
      <x:c r="F9" s="18" t="str">
        <x:v>-</x:v>
      </x:c>
      <x:c r="G9" s="24" t="str">
        <x:v>Chưa chạy</x:v>
      </x:c>
      <x:c r="H9" s="17" t="str">
        <x:v>E2E catalog</x:v>
      </x:c>
    </x:row>
    <x:row r="10" ht="27" customHeight="1">
      <x:c r="A10" s="17" t="str">
        <x:v>TC-ONB-001</x:v>
      </x:c>
      <x:c r="B10" s="17" t="str">
        <x:v>Onboarding</x:v>
      </x:c>
      <x:c r="C10" s="17" t="str">
        <x:v>P0</x:v>
      </x:c>
      <x:c r="D10" s="17" t="str">
        <x:v>Smoke</x:v>
      </x:c>
      <x:c r="E10" s="17" t="str">
        <x:v>Hoàn tất 3 bước và vào dashboard</x:v>
      </x:c>
      <x:c r="F10" s="17" t="str">
        <x:v>FR2.1, FR3.1</x:v>
      </x:c>
      <x:c r="G10" s="24" t="str">
        <x:v>Chưa chạy</x:v>
      </x:c>
      <x:c r="H10" s="17" t="str">
        <x:v>E2E catalog</x:v>
      </x:c>
    </x:row>
    <x:row r="11" ht="27" customHeight="1">
      <x:c r="A11" s="18" t="str">
        <x:v>TC-ONB-002</x:v>
      </x:c>
      <x:c r="B11" s="18" t="str">
        <x:v>Onboarding</x:v>
      </x:c>
      <x:c r="C11" s="18" t="str">
        <x:v>P0</x:v>
      </x:c>
      <x:c r="D11" s="18" t="str">
        <x:v>Chức năng</x:v>
      </x:c>
      <x:c r="E11" s="18" t="str">
        <x:v>Chưa onboarding bị chuyển về step1</x:v>
      </x:c>
      <x:c r="F11" s="18" t="str">
        <x:v>FR2.1</x:v>
      </x:c>
      <x:c r="G11" s="24" t="str">
        <x:v>Chưa chạy</x:v>
      </x:c>
      <x:c r="H11" s="17" t="str">
        <x:v>E2E catalog</x:v>
      </x:c>
    </x:row>
    <x:row r="12" ht="27" customHeight="1">
      <x:c r="A12" s="17" t="str">
        <x:v>TC-SEC-001</x:v>
      </x:c>
      <x:c r="B12" s="17" t="str">
        <x:v>Phân quyền</x:v>
      </x:c>
      <x:c r="C12" s="17" t="str">
        <x:v>P0</x:v>
      </x:c>
      <x:c r="D12" s="17" t="str">
        <x:v>Bảo mật</x:v>
      </x:c>
      <x:c r="E12" s="17" t="str">
        <x:v>Student không xem được trang admin</x:v>
      </x:c>
      <x:c r="F12" s="17" t="str">
        <x:v>-</x:v>
      </x:c>
      <x:c r="G12" s="24" t="str">
        <x:v>Chưa chạy</x:v>
      </x:c>
      <x:c r="H12" s="17" t="str">
        <x:v>E2E catalog</x:v>
      </x:c>
    </x:row>
    <x:row r="13" ht="27" customHeight="1">
      <x:c r="A13" s="18" t="str">
        <x:v>TC-SEC-002</x:v>
      </x:c>
      <x:c r="B13" s="18" t="str">
        <x:v>Phân quyền</x:v>
      </x:c>
      <x:c r="C13" s="18" t="str">
        <x:v>P0</x:v>
      </x:c>
      <x:c r="D13" s="18" t="str">
        <x:v>Bảo mật</x:v>
      </x:c>
      <x:c r="E13" s="18" t="str">
        <x:v>Khách chưa đăng nhập bị đưa về login</x:v>
      </x:c>
      <x:c r="F13" s="18" t="str">
        <x:v>-</x:v>
      </x:c>
      <x:c r="G13" s="24" t="str">
        <x:v>Chưa chạy</x:v>
      </x:c>
      <x:c r="H13" s="17" t="str">
        <x:v>E2E catalog</x:v>
      </x:c>
    </x:row>
    <x:row r="14" ht="27" customHeight="1">
      <x:c r="A14" s="17" t="str">
        <x:v>TC-SKG-001</x:v>
      </x:c>
      <x:c r="B14" s="17" t="str">
        <x:v>Skill Gap</x:v>
      </x:c>
      <x:c r="C14" s="17" t="str">
        <x:v>P1</x:v>
      </x:c>
      <x:c r="D14" s="17" t="str">
        <x:v>Chức năng</x:v>
      </x:c>
      <x:c r="E14" s="17" t="str">
        <x:v>Hiển thị phân tích, không LazyInitializationException</x:v>
      </x:c>
      <x:c r="F14" s="17" t="str">
        <x:v>FR3.1, FR3.2</x:v>
      </x:c>
      <x:c r="G14" s="24" t="str">
        <x:v>Chưa chạy</x:v>
      </x:c>
      <x:c r="H14" s="17" t="str">
        <x:v>E2E catalog</x:v>
      </x:c>
    </x:row>
    <x:row r="15" ht="27" customHeight="1">
      <x:c r="A15" s="18" t="str">
        <x:v>TC-SKG-002</x:v>
      </x:c>
      <x:c r="B15" s="18" t="str">
        <x:v>Skill Gap</x:v>
      </x:c>
      <x:c r="C15" s="18" t="str">
        <x:v>P1</x:v>
      </x:c>
      <x:c r="D15" s="18" t="str">
        <x:v>Chức năng</x:v>
      </x:c>
      <x:c r="E15" s="18" t="str">
        <x:v>Lưu báo cáo skill gap thành công</x:v>
      </x:c>
      <x:c r="F15" s="18" t="str">
        <x:v>FR3.2, FR3.3</x:v>
      </x:c>
      <x:c r="G15" s="24" t="str">
        <x:v>Chưa chạy</x:v>
      </x:c>
      <x:c r="H15" s="17" t="str">
        <x:v>E2E catalog</x:v>
      </x:c>
    </x:row>
    <x:row r="16" ht="27" customHeight="1">
      <x:c r="A16" s="17" t="str">
        <x:v>TC-RMP-001</x:v>
      </x:c>
      <x:c r="B16" s="17" t="str">
        <x:v>Lộ trình</x:v>
      </x:c>
      <x:c r="C16" s="17" t="str">
        <x:v>P1</x:v>
      </x:c>
      <x:c r="D16" s="17" t="str">
        <x:v>Chức năng</x:v>
      </x:c>
      <x:c r="E16" s="17" t="str">
        <x:v>Hiển thị roadmap và thống kê tiến độ</x:v>
      </x:c>
      <x:c r="F16" s="17" t="str">
        <x:v>FR2.3</x:v>
      </x:c>
      <x:c r="G16" s="24" t="str">
        <x:v>Chưa chạy</x:v>
      </x:c>
      <x:c r="H16" s="17" t="str">
        <x:v>E2E catalog</x:v>
      </x:c>
    </x:row>
    <x:row r="17" ht="27" customHeight="1">
      <x:c r="A17" s="18" t="str">
        <x:v>TC-RMP-002</x:v>
      </x:c>
      <x:c r="B17" s="18" t="str">
        <x:v>Lộ trình</x:v>
      </x:c>
      <x:c r="C17" s="18" t="str">
        <x:v>P1</x:v>
      </x:c>
      <x:c r="D17" s="18" t="str">
        <x:v>Tích hợp</x:v>
      </x:c>
      <x:c r="E17" s="18" t="str">
        <x:v>Skill onboarding được tính vào tiến độ</x:v>
      </x:c>
      <x:c r="F17" s="18" t="str">
        <x:v>FR2.3, FR3.1</x:v>
      </x:c>
      <x:c r="G17" s="24" t="str">
        <x:v>Chưa chạy</x:v>
      </x:c>
      <x:c r="H17" s="17" t="str">
        <x:v>E2E catalog</x:v>
      </x:c>
    </x:row>
    <x:row r="18" ht="27" customHeight="1">
      <x:c r="A18" s="17" t="str">
        <x:v>TC-PRF-001</x:v>
      </x:c>
      <x:c r="B18" s="17" t="str">
        <x:v>Hồ sơ</x:v>
      </x:c>
      <x:c r="C18" s="17" t="str">
        <x:v>P1</x:v>
      </x:c>
      <x:c r="D18" s="17" t="str">
        <x:v>Bảo mật</x:v>
      </x:c>
      <x:c r="E18" s="17" t="str">
        <x:v>Password cũ bị từ chối, password mới đăng nhập được</x:v>
      </x:c>
      <x:c r="F18" s="17" t="str">
        <x:v>FR1.3</x:v>
      </x:c>
      <x:c r="G18" s="24" t="str">
        <x:v>Chưa chạy</x:v>
      </x:c>
      <x:c r="H18" s="17" t="str">
        <x:v>E2E catalog</x:v>
      </x:c>
    </x:row>
    <x:row r="19" ht="27" customHeight="1">
      <x:c r="A19" s="18" t="str">
        <x:v>TC-PRF-002</x:v>
      </x:c>
      <x:c r="B19" s="18" t="str">
        <x:v>Hồ sơ</x:v>
      </x:c>
      <x:c r="C19" s="18" t="str">
        <x:v>P1</x:v>
      </x:c>
      <x:c r="D19" s="18" t="str">
        <x:v>Chức năng</x:v>
      </x:c>
      <x:c r="E19" s="18" t="str">
        <x:v>Profile mở được và hiện đúng email</x:v>
      </x:c>
      <x:c r="F19" s="18" t="str">
        <x:v>FR1.3</x:v>
      </x:c>
      <x:c r="G19" s="24" t="str">
        <x:v>Chưa chạy</x:v>
      </x:c>
      <x:c r="H19" s="17" t="str">
        <x:v>E2E catalog</x:v>
      </x:c>
    </x:row>
    <x:row r="20" ht="27" customHeight="1">
      <x:c r="A20" s="17" t="str">
        <x:v>TC-ADM-001</x:v>
      </x:c>
      <x:c r="B20" s="17" t="str">
        <x:v>Quản trị</x:v>
      </x:c>
      <x:c r="C20" s="17" t="str">
        <x:v>P1</x:v>
      </x:c>
      <x:c r="D20" s="17" t="str">
        <x:v>Chức năng</x:v>
      </x:c>
      <x:c r="E20" s="17" t="str">
        <x:v>Admin xem được danh sách user</x:v>
      </x:c>
      <x:c r="F20" s="17" t="str">
        <x:v>-</x:v>
      </x:c>
      <x:c r="G20" s="24" t="str">
        <x:v>Chưa chạy</x:v>
      </x:c>
      <x:c r="H20" s="17" t="str">
        <x:v>E2E catalog</x:v>
      </x:c>
    </x:row>
    <x:row r="21" ht="27" customHeight="1">
      <x:c r="A21" s="18" t="str">
        <x:v>TC-ADM-002</x:v>
      </x:c>
      <x:c r="B21" s="18" t="str">
        <x:v>Quản trị</x:v>
      </x:c>
      <x:c r="C21" s="18" t="str">
        <x:v>P1</x:v>
      </x:c>
      <x:c r="D21" s="18" t="str">
        <x:v>Chức năng</x:v>
      </x:c>
      <x:c r="E21" s="18" t="str">
        <x:v>Admin tìm được user theo email</x:v>
      </x:c>
      <x:c r="F21" s="18" t="str">
        <x:v>-</x:v>
      </x:c>
      <x:c r="G21" s="24" t="str">
        <x:v>Chưa chạy</x:v>
      </x:c>
      <x:c r="H21" s="17" t="str">
        <x:v>E2E catalog</x:v>
      </x:c>
    </x:row>
    <x:row r="22" ht="27" customHeight="1">
      <x:c r="A22" s="17" t="str">
        <x:v>TC-ADM-003</x:v>
      </x:c>
      <x:c r="B22" s="17" t="str">
        <x:v>Quản trị</x:v>
      </x:c>
      <x:c r="C22" s="17" t="str">
        <x:v>P1</x:v>
      </x:c>
      <x:c r="D22" s="17" t="str">
        <x:v>Bảo mật</x:v>
      </x:c>
      <x:c r="E22" s="17" t="str">
        <x:v>Admin không được tự đổi role</x:v>
      </x:c>
      <x:c r="F22" s="17" t="str">
        <x:v>-</x:v>
      </x:c>
      <x:c r="G22" s="24" t="str">
        <x:v>Chưa chạy</x:v>
      </x:c>
      <x:c r="H22" s="17" t="str">
        <x:v>DEF-001 trong catalog</x:v>
      </x:c>
    </x:row>
    <x:row r="23" ht="27" customHeight="1">
      <x:c r="A23" s="18" t="str">
        <x:v>TC-DSB-001</x:v>
      </x:c>
      <x:c r="B23" s="18" t="str">
        <x:v>Tổng quan</x:v>
      </x:c>
      <x:c r="C23" s="18" t="str">
        <x:v>P1</x:v>
      </x:c>
      <x:c r="D23" s="18" t="str">
        <x:v>Tích hợp</x:v>
      </x:c>
      <x:c r="E23" s="18" t="str">
        <x:v>Dashboard hiện tiến độ, skill gap, activity log</x:v>
      </x:c>
      <x:c r="F23" s="18" t="str">
        <x:v>FR2.4, FR6.2</x:v>
      </x:c>
      <x:c r="G23" s="24" t="str">
        <x:v>Chưa chạy</x:v>
      </x:c>
      <x:c r="H23" s="17" t="str">
        <x:v>E2E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9181476684d46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2" t="str">
        <x:v>Smoke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Tập con nhanh để xác nhận hệ thống còn hoạt động ở các luồng sống còn. Các case này hiện thuộc E2E và chưa chạy trong workspace.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COUNTA($A$7:$A$11)</x:f>
        <x:v>5</x:v>
      </x:c>
      <x:c r="C4" s="9" t="str">
        <x:v>PASS</x:v>
      </x:c>
      <x:c r="D4" s="9" t="n">
        <x:f>COUNTIF($G$7:$G$11,"PASS")</x:f>
        <x:v>0</x:v>
      </x:c>
      <x:c r="E4" s="9" t="str">
        <x:v>Chưa chạy</x:v>
      </x:c>
      <x:c r="F4" s="9" t="n">
        <x:f>COUNTIF($G$7:$G$11,"Chưa chạy")</x:f>
        <x:v>5</x:v>
      </x:c>
      <x:c r="G4" s="9" t="str">
        <x:v>Known bug</x:v>
      </x:c>
      <x:c r="H4" s="9" t="n">
        <x:f>COUNTIF($G$7:$G$11,"KNOWN BUG")</x:f>
        <x:v>0</x:v>
      </x:c>
    </x:row>
    <x:row r="6" ht="28" customHeight="1">
      <x:c r="A6" s="14" t="str">
        <x:v>Case ID</x:v>
      </x:c>
      <x:c r="B6" s="14" t="str">
        <x:v>Module</x:v>
      </x:c>
      <x:c r="C6" s="14" t="str">
        <x:v>Priority</x:v>
      </x:c>
      <x:c r="D6" s="14" t="str">
        <x:v>Type</x:v>
      </x:c>
      <x:c r="E6" s="14" t="str">
        <x:v>Expected result</x:v>
      </x:c>
      <x:c r="F6" s="14" t="str">
        <x:v>SRS</x:v>
      </x:c>
      <x:c r="G6" s="14" t="str">
        <x:v>Status</x:v>
      </x:c>
      <x:c r="H6" s="14" t="str">
        <x:v>Note</x:v>
      </x:c>
    </x:row>
    <x:row r="7" ht="27" customHeight="1">
      <x:c r="A7" s="18" t="str">
        <x:v>TC-AUTH-001</x:v>
      </x:c>
      <x:c r="B7" s="18" t="str">
        <x:v>Xác thực</x:v>
      </x:c>
      <x:c r="C7" s="18" t="str">
        <x:v>P0</x:v>
      </x:c>
      <x:c r="D7" s="18" t="str">
        <x:v>Smoke</x:v>
      </x:c>
      <x:c r="E7" s="18" t="str">
        <x:v>Tạo tài khoản thành công và đăng nhập được</x:v>
      </x:c>
      <x:c r="F7" s="18" t="str">
        <x:v>FR1.3</x:v>
      </x:c>
      <x:c r="G7" s="24" t="str">
        <x:v>Chưa chạy</x:v>
      </x:c>
      <x:c r="H7" s="17" t="str">
        <x:v>E2E catalog</x:v>
      </x:c>
    </x:row>
    <x:row r="8" ht="27" customHeight="1">
      <x:c r="A8" s="17" t="str">
        <x:v>TC-AUTH-003</x:v>
      </x:c>
      <x:c r="B8" s="17" t="str">
        <x:v>Xác thực</x:v>
      </x:c>
      <x:c r="C8" s="17" t="str">
        <x:v>P0</x:v>
      </x:c>
      <x:c r="D8" s="17" t="str">
        <x:v>Bảo mật</x:v>
      </x:c>
      <x:c r="E8" s="17" t="str">
        <x:v>Sai mật khẩu bị từ chối</x:v>
      </x:c>
      <x:c r="F8" s="17" t="str">
        <x:v>-</x:v>
      </x:c>
      <x:c r="G8" s="24" t="str">
        <x:v>Chưa chạy</x:v>
      </x:c>
      <x:c r="H8" s="17" t="str">
        <x:v>E2E catalog</x:v>
      </x:c>
    </x:row>
    <x:row r="9" ht="27" customHeight="1">
      <x:c r="A9" s="18" t="str">
        <x:v>TC-ONB-001</x:v>
      </x:c>
      <x:c r="B9" s="18" t="str">
        <x:v>Onboarding</x:v>
      </x:c>
      <x:c r="C9" s="18" t="str">
        <x:v>P0</x:v>
      </x:c>
      <x:c r="D9" s="18" t="str">
        <x:v>Smoke</x:v>
      </x:c>
      <x:c r="E9" s="18" t="str">
        <x:v>Hoàn tất 3 bước và vào dashboard</x:v>
      </x:c>
      <x:c r="F9" s="18" t="str">
        <x:v>FR2.1, FR3.1</x:v>
      </x:c>
      <x:c r="G9" s="24" t="str">
        <x:v>Chưa chạy</x:v>
      </x:c>
      <x:c r="H9" s="17" t="str">
        <x:v>E2E catalog</x:v>
      </x:c>
    </x:row>
    <x:row r="10" ht="27" customHeight="1">
      <x:c r="A10" s="17" t="str">
        <x:v>TC-SEC-001</x:v>
      </x:c>
      <x:c r="B10" s="17" t="str">
        <x:v>Phân quyền</x:v>
      </x:c>
      <x:c r="C10" s="17" t="str">
        <x:v>P0</x:v>
      </x:c>
      <x:c r="D10" s="17" t="str">
        <x:v>Bảo mật</x:v>
      </x:c>
      <x:c r="E10" s="17" t="str">
        <x:v>Student không xem được trang admin</x:v>
      </x:c>
      <x:c r="F10" s="17" t="str">
        <x:v>-</x:v>
      </x:c>
      <x:c r="G10" s="24" t="str">
        <x:v>Chưa chạy</x:v>
      </x:c>
      <x:c r="H10" s="17" t="str">
        <x:v>E2E catalog</x:v>
      </x:c>
    </x:row>
    <x:row r="11" ht="27" customHeight="1">
      <x:c r="A11" s="18" t="str">
        <x:v>TC-SEC-002</x:v>
      </x:c>
      <x:c r="B11" s="18" t="str">
        <x:v>Phân quyền</x:v>
      </x:c>
      <x:c r="C11" s="18" t="str">
        <x:v>P0</x:v>
      </x:c>
      <x:c r="D11" s="18" t="str">
        <x:v>Bảo mật</x:v>
      </x:c>
      <x:c r="E11" s="18" t="str">
        <x:v>Khách chưa đăng nhập bị đưa về login</x:v>
      </x:c>
      <x:c r="F11" s="18" t="str">
        <x:v>-</x:v>
      </x:c>
      <x:c r="G11" s="24" t="str">
        <x:v>Chưa chạy</x:v>
      </x:c>
      <x:c r="H11" s="17" t="str">
        <x:v>E2E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dc2e7d99424f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2" t="str">
        <x:v>Functional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Kiểm tra chức năng theo user flow và expected behavior từ catalog E2E.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COUNTA($A$7:$A$14)</x:f>
        <x:v>8</x:v>
      </x:c>
      <x:c r="C4" s="9" t="str">
        <x:v>PASS</x:v>
      </x:c>
      <x:c r="D4" s="9" t="n">
        <x:f>COUNTIF($G$7:$G$14,"PASS")</x:f>
        <x:v>0</x:v>
      </x:c>
      <x:c r="E4" s="9" t="str">
        <x:v>Chưa chạy</x:v>
      </x:c>
      <x:c r="F4" s="9" t="n">
        <x:f>COUNTIF($G$7:$G$14,"Chưa chạy")</x:f>
        <x:v>8</x:v>
      </x:c>
      <x:c r="G4" s="9" t="str">
        <x:v>Known bug</x:v>
      </x:c>
      <x:c r="H4" s="9" t="n">
        <x:f>COUNTIF($G$7:$G$14,"KNOWN BUG")</x:f>
        <x:v>0</x:v>
      </x:c>
    </x:row>
    <x:row r="6" ht="28" customHeight="1">
      <x:c r="A6" s="14" t="str">
        <x:v>Case ID</x:v>
      </x:c>
      <x:c r="B6" s="14" t="str">
        <x:v>Module</x:v>
      </x:c>
      <x:c r="C6" s="14" t="str">
        <x:v>Priority</x:v>
      </x:c>
      <x:c r="D6" s="14" t="str">
        <x:v>Type</x:v>
      </x:c>
      <x:c r="E6" s="14" t="str">
        <x:v>Expected result</x:v>
      </x:c>
      <x:c r="F6" s="14" t="str">
        <x:v>SRS</x:v>
      </x:c>
      <x:c r="G6" s="14" t="str">
        <x:v>Status</x:v>
      </x:c>
      <x:c r="H6" s="14" t="str">
        <x:v>Note</x:v>
      </x:c>
    </x:row>
    <x:row r="7" ht="27" customHeight="1">
      <x:c r="A7" s="18" t="str">
        <x:v>TC-AUTH-002</x:v>
      </x:c>
      <x:c r="B7" s="18" t="str">
        <x:v>Xác thực</x:v>
      </x:c>
      <x:c r="C7" s="18" t="str">
        <x:v>P0</x:v>
      </x:c>
      <x:c r="D7" s="18" t="str">
        <x:v>Chức năng</x:v>
      </x:c>
      <x:c r="E7" s="18" t="str">
        <x:v>Email trùng bị từ chối</x:v>
      </x:c>
      <x:c r="F7" s="18" t="str">
        <x:v>FR1.3</x:v>
      </x:c>
      <x:c r="G7" s="24" t="str">
        <x:v>Chưa chạy</x:v>
      </x:c>
      <x:c r="H7" s="17" t="str">
        <x:v>E2E catalog</x:v>
      </x:c>
    </x:row>
    <x:row r="8" ht="27" customHeight="1">
      <x:c r="A8" s="17" t="str">
        <x:v>TC-ONB-002</x:v>
      </x:c>
      <x:c r="B8" s="17" t="str">
        <x:v>Onboarding</x:v>
      </x:c>
      <x:c r="C8" s="17" t="str">
        <x:v>P0</x:v>
      </x:c>
      <x:c r="D8" s="17" t="str">
        <x:v>Chức năng</x:v>
      </x:c>
      <x:c r="E8" s="17" t="str">
        <x:v>Chưa onboarding bị chuyển về step1</x:v>
      </x:c>
      <x:c r="F8" s="17" t="str">
        <x:v>FR2.1</x:v>
      </x:c>
      <x:c r="G8" s="24" t="str">
        <x:v>Chưa chạy</x:v>
      </x:c>
      <x:c r="H8" s="17" t="str">
        <x:v>E2E catalog</x:v>
      </x:c>
    </x:row>
    <x:row r="9" ht="27" customHeight="1">
      <x:c r="A9" s="18" t="str">
        <x:v>TC-SKG-001</x:v>
      </x:c>
      <x:c r="B9" s="18" t="str">
        <x:v>Skill Gap</x:v>
      </x:c>
      <x:c r="C9" s="18" t="str">
        <x:v>P1</x:v>
      </x:c>
      <x:c r="D9" s="18" t="str">
        <x:v>Chức năng</x:v>
      </x:c>
      <x:c r="E9" s="18" t="str">
        <x:v>Hiển thị phân tích, không LazyInitializationException</x:v>
      </x:c>
      <x:c r="F9" s="18" t="str">
        <x:v>FR3.1, FR3.2</x:v>
      </x:c>
      <x:c r="G9" s="24" t="str">
        <x:v>Chưa chạy</x:v>
      </x:c>
      <x:c r="H9" s="17" t="str">
        <x:v>E2E catalog</x:v>
      </x:c>
    </x:row>
    <x:row r="10" ht="27" customHeight="1">
      <x:c r="A10" s="17" t="str">
        <x:v>TC-SKG-002</x:v>
      </x:c>
      <x:c r="B10" s="17" t="str">
        <x:v>Skill Gap</x:v>
      </x:c>
      <x:c r="C10" s="17" t="str">
        <x:v>P1</x:v>
      </x:c>
      <x:c r="D10" s="17" t="str">
        <x:v>Chức năng</x:v>
      </x:c>
      <x:c r="E10" s="17" t="str">
        <x:v>Lưu báo cáo skill gap thành công</x:v>
      </x:c>
      <x:c r="F10" s="17" t="str">
        <x:v>FR3.2, FR3.3</x:v>
      </x:c>
      <x:c r="G10" s="24" t="str">
        <x:v>Chưa chạy</x:v>
      </x:c>
      <x:c r="H10" s="17" t="str">
        <x:v>E2E catalog</x:v>
      </x:c>
    </x:row>
    <x:row r="11" ht="27" customHeight="1">
      <x:c r="A11" s="18" t="str">
        <x:v>TC-RMP-001</x:v>
      </x:c>
      <x:c r="B11" s="18" t="str">
        <x:v>Lộ trình</x:v>
      </x:c>
      <x:c r="C11" s="18" t="str">
        <x:v>P1</x:v>
      </x:c>
      <x:c r="D11" s="18" t="str">
        <x:v>Chức năng</x:v>
      </x:c>
      <x:c r="E11" s="18" t="str">
        <x:v>Hiển thị roadmap và thống kê tiến độ</x:v>
      </x:c>
      <x:c r="F11" s="18" t="str">
        <x:v>FR2.3</x:v>
      </x:c>
      <x:c r="G11" s="24" t="str">
        <x:v>Chưa chạy</x:v>
      </x:c>
      <x:c r="H11" s="17" t="str">
        <x:v>E2E catalog</x:v>
      </x:c>
    </x:row>
    <x:row r="12" ht="27" customHeight="1">
      <x:c r="A12" s="17" t="str">
        <x:v>TC-PRF-002</x:v>
      </x:c>
      <x:c r="B12" s="17" t="str">
        <x:v>Hồ sơ</x:v>
      </x:c>
      <x:c r="C12" s="17" t="str">
        <x:v>P1</x:v>
      </x:c>
      <x:c r="D12" s="17" t="str">
        <x:v>Chức năng</x:v>
      </x:c>
      <x:c r="E12" s="17" t="str">
        <x:v>Profile mở được và hiện đúng email</x:v>
      </x:c>
      <x:c r="F12" s="17" t="str">
        <x:v>FR1.3</x:v>
      </x:c>
      <x:c r="G12" s="24" t="str">
        <x:v>Chưa chạy</x:v>
      </x:c>
      <x:c r="H12" s="17" t="str">
        <x:v>E2E catalog</x:v>
      </x:c>
    </x:row>
    <x:row r="13" ht="27" customHeight="1">
      <x:c r="A13" s="18" t="str">
        <x:v>TC-ADM-001</x:v>
      </x:c>
      <x:c r="B13" s="18" t="str">
        <x:v>Quản trị</x:v>
      </x:c>
      <x:c r="C13" s="18" t="str">
        <x:v>P1</x:v>
      </x:c>
      <x:c r="D13" s="18" t="str">
        <x:v>Chức năng</x:v>
      </x:c>
      <x:c r="E13" s="18" t="str">
        <x:v>Admin xem được danh sách user</x:v>
      </x:c>
      <x:c r="F13" s="18" t="str">
        <x:v>-</x:v>
      </x:c>
      <x:c r="G13" s="24" t="str">
        <x:v>Chưa chạy</x:v>
      </x:c>
      <x:c r="H13" s="17" t="str">
        <x:v>E2E catalog</x:v>
      </x:c>
    </x:row>
    <x:row r="14" ht="27" customHeight="1">
      <x:c r="A14" s="17" t="str">
        <x:v>TC-ADM-002</x:v>
      </x:c>
      <x:c r="B14" s="17" t="str">
        <x:v>Quản trị</x:v>
      </x:c>
      <x:c r="C14" s="17" t="str">
        <x:v>P1</x:v>
      </x:c>
      <x:c r="D14" s="17" t="str">
        <x:v>Chức năng</x:v>
      </x:c>
      <x:c r="E14" s="17" t="str">
        <x:v>Admin tìm được user theo email</x:v>
      </x:c>
      <x:c r="F14" s="17" t="str">
        <x:v>-</x:v>
      </x:c>
      <x:c r="G14" s="24" t="str">
        <x:v>Chưa chạy</x:v>
      </x:c>
      <x:c r="H14" s="17" t="str">
        <x:v>E2E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c02346165cd44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2" t="str">
        <x:v>Security / Authorization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Kiểm tra authentication, authorization và các thao tác admin nhạy cảm; E2E hiện chưa chạy.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COUNTA($A$7:$A$11)</x:f>
        <x:v>5</x:v>
      </x:c>
      <x:c r="C4" s="9" t="str">
        <x:v>PASS</x:v>
      </x:c>
      <x:c r="D4" s="9" t="n">
        <x:f>COUNTIF($G$7:$G$11,"PASS")</x:f>
        <x:v>0</x:v>
      </x:c>
      <x:c r="E4" s="9" t="str">
        <x:v>Chưa chạy</x:v>
      </x:c>
      <x:c r="F4" s="9" t="n">
        <x:f>COUNTIF($G$7:$G$11,"Chưa chạy")</x:f>
        <x:v>5</x:v>
      </x:c>
      <x:c r="G4" s="9" t="str">
        <x:v>Known bug</x:v>
      </x:c>
      <x:c r="H4" s="9" t="n">
        <x:f>COUNTIF($G$7:$G$11,"KNOWN BUG")</x:f>
        <x:v>0</x:v>
      </x:c>
    </x:row>
    <x:row r="6" ht="28" customHeight="1">
      <x:c r="A6" s="14" t="str">
        <x:v>Case ID</x:v>
      </x:c>
      <x:c r="B6" s="14" t="str">
        <x:v>Module</x:v>
      </x:c>
      <x:c r="C6" s="14" t="str">
        <x:v>Priority</x:v>
      </x:c>
      <x:c r="D6" s="14" t="str">
        <x:v>Type</x:v>
      </x:c>
      <x:c r="E6" s="14" t="str">
        <x:v>Expected result</x:v>
      </x:c>
      <x:c r="F6" s="14" t="str">
        <x:v>SRS</x:v>
      </x:c>
      <x:c r="G6" s="14" t="str">
        <x:v>Status</x:v>
      </x:c>
      <x:c r="H6" s="14" t="str">
        <x:v>Note</x:v>
      </x:c>
    </x:row>
    <x:row r="7" ht="27" customHeight="1">
      <x:c r="A7" s="18" t="str">
        <x:v>TC-AUTH-003</x:v>
      </x:c>
      <x:c r="B7" s="18" t="str">
        <x:v>Xác thực</x:v>
      </x:c>
      <x:c r="C7" s="18" t="str">
        <x:v>P0</x:v>
      </x:c>
      <x:c r="D7" s="18" t="str">
        <x:v>Bảo mật</x:v>
      </x:c>
      <x:c r="E7" s="18" t="str">
        <x:v>Sai mật khẩu bị từ chối</x:v>
      </x:c>
      <x:c r="F7" s="18" t="str">
        <x:v>-</x:v>
      </x:c>
      <x:c r="G7" s="24" t="str">
        <x:v>Chưa chạy</x:v>
      </x:c>
      <x:c r="H7" s="17" t="str">
        <x:v>E2E catalog</x:v>
      </x:c>
    </x:row>
    <x:row r="8" ht="27" customHeight="1">
      <x:c r="A8" s="17" t="str">
        <x:v>TC-SEC-001</x:v>
      </x:c>
      <x:c r="B8" s="17" t="str">
        <x:v>Phân quyền</x:v>
      </x:c>
      <x:c r="C8" s="17" t="str">
        <x:v>P0</x:v>
      </x:c>
      <x:c r="D8" s="17" t="str">
        <x:v>Bảo mật</x:v>
      </x:c>
      <x:c r="E8" s="17" t="str">
        <x:v>Student không xem được trang admin</x:v>
      </x:c>
      <x:c r="F8" s="17" t="str">
        <x:v>-</x:v>
      </x:c>
      <x:c r="G8" s="24" t="str">
        <x:v>Chưa chạy</x:v>
      </x:c>
      <x:c r="H8" s="17" t="str">
        <x:v>E2E catalog</x:v>
      </x:c>
    </x:row>
    <x:row r="9" ht="27" customHeight="1">
      <x:c r="A9" s="18" t="str">
        <x:v>TC-SEC-002</x:v>
      </x:c>
      <x:c r="B9" s="18" t="str">
        <x:v>Phân quyền</x:v>
      </x:c>
      <x:c r="C9" s="18" t="str">
        <x:v>P0</x:v>
      </x:c>
      <x:c r="D9" s="18" t="str">
        <x:v>Bảo mật</x:v>
      </x:c>
      <x:c r="E9" s="18" t="str">
        <x:v>Khách chưa đăng nhập bị đưa về login</x:v>
      </x:c>
      <x:c r="F9" s="18" t="str">
        <x:v>-</x:v>
      </x:c>
      <x:c r="G9" s="24" t="str">
        <x:v>Chưa chạy</x:v>
      </x:c>
      <x:c r="H9" s="17" t="str">
        <x:v>E2E catalog</x:v>
      </x:c>
    </x:row>
    <x:row r="10" ht="27" customHeight="1">
      <x:c r="A10" s="17" t="str">
        <x:v>TC-PRF-001</x:v>
      </x:c>
      <x:c r="B10" s="17" t="str">
        <x:v>Hồ sơ</x:v>
      </x:c>
      <x:c r="C10" s="17" t="str">
        <x:v>P1</x:v>
      </x:c>
      <x:c r="D10" s="17" t="str">
        <x:v>Bảo mật</x:v>
      </x:c>
      <x:c r="E10" s="17" t="str">
        <x:v>Password cũ bị từ chối, password mới đăng nhập được</x:v>
      </x:c>
      <x:c r="F10" s="17" t="str">
        <x:v>FR1.3</x:v>
      </x:c>
      <x:c r="G10" s="24" t="str">
        <x:v>Chưa chạy</x:v>
      </x:c>
      <x:c r="H10" s="17" t="str">
        <x:v>E2E catalog</x:v>
      </x:c>
    </x:row>
    <x:row r="11" ht="27" customHeight="1">
      <x:c r="A11" s="18" t="str">
        <x:v>TC-ADM-003</x:v>
      </x:c>
      <x:c r="B11" s="18" t="str">
        <x:v>Quản trị</x:v>
      </x:c>
      <x:c r="C11" s="18" t="str">
        <x:v>P1</x:v>
      </x:c>
      <x:c r="D11" s="18" t="str">
        <x:v>Bảo mật</x:v>
      </x:c>
      <x:c r="E11" s="18" t="str">
        <x:v>Admin không được tự đổi role</x:v>
      </x:c>
      <x:c r="F11" s="18" t="str">
        <x:v>-</x:v>
      </x:c>
      <x:c r="G11" s="24" t="str">
        <x:v>Chưa chạy</x:v>
      </x:c>
      <x:c r="H11" s="17" t="str">
        <x:v>DEF-001 trong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a8adaa58cd444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2" t="str">
        <x:v>Integration Testing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Kiểm tra sự ghép nối giữa roadmap, skill gap, dashboard, activity log và giao diện; E2E hiện chưa chạy.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COUNTA($A$7:$A$10)</x:f>
        <x:v>4</x:v>
      </x:c>
      <x:c r="C4" s="9" t="str">
        <x:v>PASS</x:v>
      </x:c>
      <x:c r="D4" s="9" t="n">
        <x:f>COUNTIF($G$7:$G$10,"PASS")</x:f>
        <x:v>0</x:v>
      </x:c>
      <x:c r="E4" s="9" t="str">
        <x:v>Chưa chạy</x:v>
      </x:c>
      <x:c r="F4" s="9" t="n">
        <x:f>COUNTIF($G$7:$G$10,"Chưa chạy")</x:f>
        <x:v>4</x:v>
      </x:c>
      <x:c r="G4" s="9" t="str">
        <x:v>Known bug</x:v>
      </x:c>
      <x:c r="H4" s="9" t="n">
        <x:f>COUNTIF($G$7:$G$10,"KNOWN BUG")</x:f>
        <x:v>0</x:v>
      </x:c>
    </x:row>
    <x:row r="6" ht="28" customHeight="1">
      <x:c r="A6" s="14" t="str">
        <x:v>Case ID</x:v>
      </x:c>
      <x:c r="B6" s="14" t="str">
        <x:v>Module</x:v>
      </x:c>
      <x:c r="C6" s="14" t="str">
        <x:v>Priority</x:v>
      </x:c>
      <x:c r="D6" s="14" t="str">
        <x:v>Type</x:v>
      </x:c>
      <x:c r="E6" s="14" t="str">
        <x:v>Expected result</x:v>
      </x:c>
      <x:c r="F6" s="14" t="str">
        <x:v>SRS</x:v>
      </x:c>
      <x:c r="G6" s="14" t="str">
        <x:v>Status</x:v>
      </x:c>
      <x:c r="H6" s="14" t="str">
        <x:v>Note</x:v>
      </x:c>
    </x:row>
    <x:row r="7" ht="27" customHeight="1">
      <x:c r="A7" s="18" t="str">
        <x:v>TC-SKG-001</x:v>
      </x:c>
      <x:c r="B7" s="18" t="str">
        <x:v>Skill Gap</x:v>
      </x:c>
      <x:c r="C7" s="18" t="str">
        <x:v>P1</x:v>
      </x:c>
      <x:c r="D7" s="18" t="str">
        <x:v>Chức năng</x:v>
      </x:c>
      <x:c r="E7" s="18" t="str">
        <x:v>Hiển thị phân tích, không LazyInitializationException</x:v>
      </x:c>
      <x:c r="F7" s="18" t="str">
        <x:v>FR3.1, FR3.2</x:v>
      </x:c>
      <x:c r="G7" s="24" t="str">
        <x:v>Chưa chạy</x:v>
      </x:c>
      <x:c r="H7" s="17" t="str">
        <x:v>E2E catalog</x:v>
      </x:c>
    </x:row>
    <x:row r="8" ht="27" customHeight="1">
      <x:c r="A8" s="17" t="str">
        <x:v>TC-SKG-002</x:v>
      </x:c>
      <x:c r="B8" s="17" t="str">
        <x:v>Skill Gap</x:v>
      </x:c>
      <x:c r="C8" s="17" t="str">
        <x:v>P1</x:v>
      </x:c>
      <x:c r="D8" s="17" t="str">
        <x:v>Chức năng</x:v>
      </x:c>
      <x:c r="E8" s="17" t="str">
        <x:v>Lưu báo cáo skill gap thành công</x:v>
      </x:c>
      <x:c r="F8" s="17" t="str">
        <x:v>FR3.2, FR3.3</x:v>
      </x:c>
      <x:c r="G8" s="24" t="str">
        <x:v>Chưa chạy</x:v>
      </x:c>
      <x:c r="H8" s="17" t="str">
        <x:v>E2E catalog</x:v>
      </x:c>
    </x:row>
    <x:row r="9" ht="27" customHeight="1">
      <x:c r="A9" s="18" t="str">
        <x:v>TC-RMP-002</x:v>
      </x:c>
      <x:c r="B9" s="18" t="str">
        <x:v>Lộ trình</x:v>
      </x:c>
      <x:c r="C9" s="18" t="str">
        <x:v>P1</x:v>
      </x:c>
      <x:c r="D9" s="18" t="str">
        <x:v>Tích hợp</x:v>
      </x:c>
      <x:c r="E9" s="18" t="str">
        <x:v>Skill onboarding được tính vào tiến độ</x:v>
      </x:c>
      <x:c r="F9" s="18" t="str">
        <x:v>FR2.3, FR3.1</x:v>
      </x:c>
      <x:c r="G9" s="24" t="str">
        <x:v>Chưa chạy</x:v>
      </x:c>
      <x:c r="H9" s="17" t="str">
        <x:v>E2E catalog</x:v>
      </x:c>
    </x:row>
    <x:row r="10" ht="27" customHeight="1">
      <x:c r="A10" s="17" t="str">
        <x:v>TC-DSB-001</x:v>
      </x:c>
      <x:c r="B10" s="17" t="str">
        <x:v>Tổng quan</x:v>
      </x:c>
      <x:c r="C10" s="17" t="str">
        <x:v>P1</x:v>
      </x:c>
      <x:c r="D10" s="17" t="str">
        <x:v>Tích hợp</x:v>
      </x:c>
      <x:c r="E10" s="17" t="str">
        <x:v>Dashboard hiện tiến độ, skill gap, activity log</x:v>
      </x:c>
      <x:c r="F10" s="17" t="str">
        <x:v>FR2.4, FR6.2</x:v>
      </x:c>
      <x:c r="G10" s="24" t="str">
        <x:v>Chưa chạy</x:v>
      </x:c>
      <x:c r="H10" s="17" t="str">
        <x:v>E2E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14c74b705c849f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28" customHeight="1">
      <x:c r="A1" s="2" t="str">
        <x:v>Error Guessing / Risk-based Cases</x:v>
      </x:c>
      <x:c r="B1" s="2"/>
      <x:c r="C1" s="2"/>
      <x:c r="D1" s="2"/>
      <x:c r="E1" s="2"/>
      <x:c r="F1" s="2"/>
      <x:c r="G1" s="2"/>
      <x:c r="H1" s="2"/>
    </x:row>
    <x:row r="2" ht="26" customHeight="1">
      <x:c r="A2" s="5" t="str">
        <x:v>Các tình huống rủi ro thường dễ bỏ sót: dependency lỗi, filename bất thường, lazy loading, session và known bug.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Tổng case</x:v>
      </x:c>
      <x:c r="B4" s="9" t="n">
        <x:f>COUNTA($A$7:$A$12)</x:f>
        <x:v>6</x:v>
      </x:c>
      <x:c r="C4" s="9" t="str">
        <x:v>PASS</x:v>
      </x:c>
      <x:c r="D4" s="9" t="n">
        <x:f>COUNTIF($G$7:$G$12,"PASS")</x:f>
        <x:v>3</x:v>
      </x:c>
      <x:c r="E4" s="9" t="str">
        <x:v>Chưa chạy</x:v>
      </x:c>
      <x:c r="F4" s="9" t="n">
        <x:f>COUNTIF($G$7:$G$12,"Chưa chạy")</x:f>
        <x:v>1</x:v>
      </x:c>
      <x:c r="G4" s="9" t="str">
        <x:v>Known bug</x:v>
      </x:c>
      <x:c r="H4" s="9" t="n">
        <x:f>COUNTIF($G$7:$G$12,"KNOWN BUG")</x:f>
        <x:v>2</x:v>
      </x:c>
    </x:row>
    <x:row r="6" ht="28" customHeight="1">
      <x:c r="A6" s="14" t="str">
        <x:v>Case ID</x:v>
      </x:c>
      <x:c r="B6" s="14" t="str">
        <x:v>Source test</x:v>
      </x:c>
      <x:c r="C6" s="14" t="str">
        <x:v>Test category</x:v>
      </x:c>
      <x:c r="D6" s="14" t="str">
        <x:v>Input / condition</x:v>
      </x:c>
      <x:c r="E6" s="14" t="str">
        <x:v>Expected result</x:v>
      </x:c>
      <x:c r="F6" s="14" t="str">
        <x:v>Actual / evidence</x:v>
      </x:c>
      <x:c r="G6" s="14" t="str">
        <x:v>Status</x:v>
      </x:c>
      <x:c r="H6" s="14" t="str">
        <x:v>Note</x:v>
      </x:c>
    </x:row>
    <x:row r="7" ht="27" customHeight="1">
      <x:c r="A7" s="18" t="str">
        <x:v>EG-001</x:v>
      </x:c>
      <x:c r="B7" s="18" t="str">
        <x:v>OnboardingServiceTest</x:v>
      </x:c>
      <x:c r="C7" s="18" t="str">
        <x:v>Malformed filename</x:v>
      </x:c>
      <x:c r="D7" s="18" t="str">
        <x:v>Tên file không có dấu chấm</x:v>
      </x:c>
      <x:c r="E7" s="18" t="str">
        <x:v>Báo lỗi input thân thiện</x:v>
      </x:c>
      <x:c r="F7" s="18" t="str">
        <x:v>Đã phát hiện exception thô</x:v>
      </x:c>
      <x:c r="G7" s="27" t="str">
        <x:v>KNOWN BUG</x:v>
      </x:c>
      <x:c r="H7" s="17" t="str">
        <x:v>Cần guard extension</x:v>
      </x:c>
    </x:row>
    <x:row r="8" ht="27" customHeight="1">
      <x:c r="A8" s="17" t="str">
        <x:v>EG-002</x:v>
      </x:c>
      <x:c r="B8" s="17" t="str">
        <x:v>DashboardServiceTest</x:v>
      </x:c>
      <x:c r="C8" s="17" t="str">
        <x:v>Database failure</x:v>
      </x:c>
      <x:c r="D8" s="17" t="str">
        <x:v>DB connection lost khi lấy thống kê</x:v>
      </x:c>
      <x:c r="E8" s="17" t="str">
        <x:v>Fallback/không crash dashboard</x:v>
      </x:c>
      <x:c r="F8" s="17" t="str">
        <x:v>Unit test hiện có</x:v>
      </x:c>
      <x:c r="G8" s="21" t="str">
        <x:v>PASS</x:v>
      </x:c>
      <x:c r="H8" s="17" t="str"/>
    </x:row>
    <x:row r="9" ht="27" customHeight="1">
      <x:c r="A9" s="18" t="str">
        <x:v>EG-003</x:v>
      </x:c>
      <x:c r="B9" s="18" t="str">
        <x:v>MentorServiceTest</x:v>
      </x:c>
      <x:c r="C9" s="18" t="str">
        <x:v>LLM failure</x:v>
      </x:c>
      <x:c r="D9" s="18" t="str">
        <x:v>LLM throws RuntimeException</x:v>
      </x:c>
      <x:c r="E9" s="18" t="str">
        <x:v>Fallback reply + vẫn lưu chat</x:v>
      </x:c>
      <x:c r="F9" s="18" t="str">
        <x:v>Unit test hiện có</x:v>
      </x:c>
      <x:c r="G9" s="21" t="str">
        <x:v>PASS</x:v>
      </x:c>
      <x:c r="H9" s="17" t="str"/>
    </x:row>
    <x:row r="10" ht="27" customHeight="1">
      <x:c r="A10" s="17" t="str">
        <x:v>EG-004</x:v>
      </x:c>
      <x:c r="B10" s="17" t="str">
        <x:v>ScraperServiceTest</x:v>
      </x:c>
      <x:c r="C10" s="17" t="str">
        <x:v>Network failure</x:v>
      </x:c>
      <x:c r="D10" s="17" t="str">
        <x:v>Connection reset khi scrape</x:v>
      </x:c>
      <x:c r="E10" s="17" t="str">
        <x:v>Không làm crash scraper</x:v>
      </x:c>
      <x:c r="F10" s="17" t="str">
        <x:v>Unit test hiện có</x:v>
      </x:c>
      <x:c r="G10" s="21" t="str">
        <x:v>PASS</x:v>
      </x:c>
      <x:c r="H10" s="17" t="str"/>
    </x:row>
    <x:row r="11" ht="27" customHeight="1">
      <x:c r="A11" s="18" t="str">
        <x:v>EG-005</x:v>
      </x:c>
      <x:c r="B11" s="18" t="str">
        <x:v>SkillGap E2E</x:v>
      </x:c>
      <x:c r="C11" s="18" t="str">
        <x:v>Lazy loading</x:v>
      </x:c>
      <x:c r="D11" s="18" t="str">
        <x:v>Mở skill gap sau onboarding</x:v>
      </x:c>
      <x:c r="E11" s="18" t="str">
        <x:v>Không LazyInitializationException</x:v>
      </x:c>
      <x:c r="F11" s="18" t="str">
        <x:v>E2E catalog</x:v>
      </x:c>
      <x:c r="G11" s="24" t="str">
        <x:v>Chưa chạy</x:v>
      </x:c>
      <x:c r="H11" s="17" t="str"/>
    </x:row>
    <x:row r="12" ht="27" customHeight="1">
      <x:c r="A12" s="17" t="str">
        <x:v>EG-006</x:v>
      </x:c>
      <x:c r="B12" s="17" t="str">
        <x:v>AdminUser E2E</x:v>
      </x:c>
      <x:c r="C12" s="17" t="str">
        <x:v>Session/authorization</x:v>
      </x:c>
      <x:c r="D12" s="17" t="str">
        <x:v>Admin tự hạ role rồi đăng nhập lại</x:v>
      </x:c>
      <x:c r="E12" s="17" t="str">
        <x:v>Thao tác phải bị từ chối</x:v>
      </x:c>
      <x:c r="F12" s="17" t="str">
        <x:v>Catalog ghi DEF-001</x:v>
      </x:c>
      <x:c r="G12" s="27" t="str">
        <x:v>KNOWN BUG</x:v>
      </x:c>
      <x:c r="H12" s="17" t="str">
        <x:v>Known bug trong e2e catalog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17e4cb95ef489b"/>
  </x:tableParts>
</x:worksheet>
</file>